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Dashboard" sheetId="2" state="visible" r:id="rId2"/>
    <sheet name="Roadmap" sheetId="3" state="visible" r:id="rId3"/>
    <sheet name="Problems" sheetId="4" state="visible" r:id="rId4"/>
    <sheet name="Pattern Notes" sheetId="5" state="visible" r:id="rId5"/>
    <sheet name="Mock Interviews" sheetId="6" state="visible" r:id="rId6"/>
    <sheet name="Log" sheetId="7" state="visible" r:id="rId9"/>
  </sheets>
  <definedNames>
    <definedName name="_xlnm._FilterDatabase" localSheetId="3" hidden="1">'Problems'!$A$1:$O$154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2" fillId="0" borderId="0" pivotButton="0" quotePrefix="0" xfId="0"/>
    <xf numFmtId="164" fontId="3" fillId="0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9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3" fillId="3" borderId="1" applyNumberFormat="1" applyAlignment="1" pivotButton="0" quotePrefix="0" xfId="0">
      <alignment horizontal="center"/>
    </xf>
    <xf numFmtId="165" fontId="3" fillId="0" borderId="1" applyNumberFormat="1" applyAlignment="1" pivotButton="0" quotePrefix="0" xfId="0">
      <alignment horizontal="center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ont>
        <name val="Arial"/>
        <b val="1"/>
        <color rgb="0000B050"/>
      </font>
    </dxf>
    <dxf>
      <font>
        <name val="Arial"/>
        <b val="1"/>
        <color rgb="00C55A11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worksheet" Target="/xl/worksheets/sheet7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Algorithms Study Tracker</t>
        </is>
      </c>
    </row>
    <row r="3">
      <c r="A3" s="2" t="inlineStr">
        <is>
          <t>How it works</t>
        </is>
      </c>
    </row>
    <row r="4">
      <c r="A4" s="3" t="inlineStr">
        <is>
          <t>1. Work through Roadmap top to bottom. One topic at a time.</t>
        </is>
      </c>
    </row>
    <row r="5">
      <c r="A5" s="3" t="inlineStr">
        <is>
          <t>2. For each topic: learn the concept, implement the core technique from scratch, solve its problems in Problems, then write a note in Pattern Notes.</t>
        </is>
      </c>
    </row>
    <row r="6">
      <c r="A6" s="3" t="inlineStr">
        <is>
          <t>3. After every problem, fill Result, Date solved and Key insight in Problems.</t>
        </is>
      </c>
    </row>
    <row r="7">
      <c r="A7" s="3" t="inlineStr">
        <is>
          <t>4. Re-solve every problem that wasn't Solo from memory: Review 1 three days after solving, Review 2 a week after Review 1, Review 3 three weeks after Review 2. Enter the date you did each one; Next review and Status work out what is due.</t>
        </is>
      </c>
    </row>
    <row r="8">
      <c r="A8" s="3" t="inlineStr">
        <is>
          <t>5. Dashboard updates itself. At the end of each study day, add a row to Log.</t>
        </is>
      </c>
    </row>
    <row r="9">
      <c r="A9" s="2" t="inlineStr"/>
    </row>
    <row r="10">
      <c r="A10" s="2" t="inlineStr">
        <is>
          <t>What to edit</t>
        </is>
      </c>
    </row>
    <row r="11">
      <c r="A11" s="3" t="inlineStr">
        <is>
          <t>Cells with a light-yellow fill are yours to fill in. Everything else is calculated.</t>
        </is>
      </c>
    </row>
    <row r="12">
      <c r="A12" s="3" t="inlineStr">
        <is>
          <t>Result: Solo · Hint · Solution · (empty = not tried)</t>
        </is>
      </c>
    </row>
    <row r="13">
      <c r="A13" s="3" t="inlineStr">
        <is>
          <t>Date solved, Review 1/2/3: a date (Ctrl+; enters today) · Template done, Note done: Y or empty</t>
        </is>
      </c>
    </row>
    <row r="14">
      <c r="A14" s="2" t="inlineStr"/>
    </row>
    <row r="15">
      <c r="A15" s="2" t="inlineStr">
        <is>
          <t>Method for each problem</t>
        </is>
      </c>
    </row>
    <row r="16">
      <c r="A16" s="3" t="inlineStr">
        <is>
          <t>1. Clarify inputs, constraints and edge cases.</t>
        </is>
      </c>
    </row>
    <row r="17">
      <c r="A17" s="3" t="inlineStr">
        <is>
          <t>2. Work examples by hand; state the brute force and its complexity.</t>
        </is>
      </c>
    </row>
    <row r="18">
      <c r="A18" s="3" t="inlineStr">
        <is>
          <t>3. Try to improve it: 25 min max (35 for Hard).</t>
        </is>
      </c>
    </row>
    <row r="19">
      <c r="A19" s="3" t="inlineStr">
        <is>
          <t>4. Stuck → one hint. Still stuck → read the solution until you understand WHY.</t>
        </is>
      </c>
    </row>
    <row r="20">
      <c r="A20" s="3" t="inlineStr">
        <is>
          <t>5. Close the solution and rewrite it from memory.</t>
        </is>
      </c>
    </row>
    <row r="21">
      <c r="A21" s="2" t="inlineStr"/>
    </row>
    <row r="22">
      <c r="A22" s="2" t="inlineStr">
        <is>
          <t>Notes</t>
        </is>
      </c>
    </row>
    <row r="23">
      <c r="A23" s="3" t="inlineStr">
        <is>
          <t>Problem list: NeetCode 150, grouped by its categories. The 3 Prefix Sums problems are extra LeetCode problems (marked 'Extra'), since NeetCode 150 has no Prefix Sums category.</t>
        </is>
      </c>
    </row>
    <row r="24">
      <c r="A24" s="3" t="inlineStr">
        <is>
          <t>Example row: Problems row 2 (Contains Duplicate) is filled in to show the format — overwrite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Dashboard</t>
        </is>
      </c>
    </row>
    <row r="3">
      <c r="A3" s="4" t="inlineStr"/>
      <c r="B3" s="4" t="inlineStr">
        <is>
          <t>Easy</t>
        </is>
      </c>
      <c r="C3" s="4" t="inlineStr">
        <is>
          <t>Medium</t>
        </is>
      </c>
      <c r="D3" s="4" t="inlineStr">
        <is>
          <t>Hard</t>
        </is>
      </c>
      <c r="E3" s="4" t="inlineStr">
        <is>
          <t>Total</t>
        </is>
      </c>
    </row>
    <row r="4">
      <c r="A4" s="5" t="inlineStr">
        <is>
          <t>Problems in list</t>
        </is>
      </c>
      <c r="B4" s="6">
        <f>COUNTIF(Problems!$E$2:$E$154,"Easy")</f>
        <v/>
      </c>
      <c r="C4" s="6">
        <f>COUNTIF(Problems!$E$2:$E$154,"Medium")</f>
        <v/>
      </c>
      <c r="D4" s="6">
        <f>COUNTIF(Problems!$E$2:$E$154,"Hard")</f>
        <v/>
      </c>
      <c r="E4" s="5">
        <f>COUNTA(Problems!$D$2:$D$154)</f>
        <v/>
      </c>
    </row>
    <row r="5">
      <c r="A5" s="5" t="inlineStr">
        <is>
          <t>Tried</t>
        </is>
      </c>
      <c r="B5" s="6">
        <f>COUNTIFS(Problems!$E$2:$E$154,"Easy",Problems!$G$2:$G$154,"Solo")+COUNTIFS(Problems!$E$2:$E$154,"Easy",Problems!$G$2:$G$154,"Hint")+COUNTIFS(Problems!$E$2:$E$154,"Easy",Problems!$G$2:$G$154,"Solution")</f>
        <v/>
      </c>
      <c r="C5" s="6">
        <f>COUNTIFS(Problems!$E$2:$E$154,"Medium",Problems!$G$2:$G$154,"Solo")+COUNTIFS(Problems!$E$2:$E$154,"Medium",Problems!$G$2:$G$154,"Hint")+COUNTIFS(Problems!$E$2:$E$154,"Medium",Problems!$G$2:$G$154,"Solution")</f>
        <v/>
      </c>
      <c r="D5" s="6">
        <f>COUNTIFS(Problems!$E$2:$E$154,"Hard",Problems!$G$2:$G$154,"Solo")+COUNTIFS(Problems!$E$2:$E$154,"Hard",Problems!$G$2:$G$154,"Hint")+COUNTIFS(Problems!$E$2:$E$154,"Hard",Problems!$G$2:$G$154,"Solution")</f>
        <v/>
      </c>
      <c r="E5" s="5">
        <f>COUNTIF(Problems!$G$2:$G$154,"Solo")+COUNTIF(Problems!$G$2:$G$154,"Hint")+COUNTIF(Problems!$G$2:$G$154,"Solution")</f>
        <v/>
      </c>
    </row>
    <row r="6">
      <c r="A6" s="5" t="inlineStr">
        <is>
          <t>Solved solo</t>
        </is>
      </c>
      <c r="B6" s="6">
        <f>COUNTIFS(Problems!$E$2:$E$154,"Easy",Problems!$G$2:$G$154,"Solo")</f>
        <v/>
      </c>
      <c r="C6" s="6">
        <f>COUNTIFS(Problems!$E$2:$E$154,"Medium",Problems!$G$2:$G$154,"Solo")</f>
        <v/>
      </c>
      <c r="D6" s="6">
        <f>COUNTIFS(Problems!$E$2:$E$154,"Hard",Problems!$G$2:$G$154,"Solo")</f>
        <v/>
      </c>
      <c r="E6" s="5">
        <f>COUNTIF(Problems!$G$2:$G$154,"Solo")</f>
        <v/>
      </c>
    </row>
    <row r="7">
      <c r="A7" s="5" t="inlineStr">
        <is>
          <t>Solved with hint</t>
        </is>
      </c>
      <c r="B7" s="6">
        <f>COUNTIFS(Problems!$E$2:$E$154,"Easy",Problems!$G$2:$G$154,"Hint")</f>
        <v/>
      </c>
      <c r="C7" s="6">
        <f>COUNTIFS(Problems!$E$2:$E$154,"Medium",Problems!$G$2:$G$154,"Hint")</f>
        <v/>
      </c>
      <c r="D7" s="6">
        <f>COUNTIFS(Problems!$E$2:$E$154,"Hard",Problems!$G$2:$G$154,"Hint")</f>
        <v/>
      </c>
      <c r="E7" s="5">
        <f>COUNTIF(Problems!$G$2:$G$154,"Hint")</f>
        <v/>
      </c>
    </row>
    <row r="8">
      <c r="A8" s="5" t="inlineStr">
        <is>
          <t>Needed the solution</t>
        </is>
      </c>
      <c r="B8" s="6">
        <f>COUNTIFS(Problems!$E$2:$E$154,"Easy",Problems!$G$2:$G$154,"Solution")</f>
        <v/>
      </c>
      <c r="C8" s="6">
        <f>COUNTIFS(Problems!$E$2:$E$154,"Medium",Problems!$G$2:$G$154,"Solution")</f>
        <v/>
      </c>
      <c r="D8" s="6">
        <f>COUNTIFS(Problems!$E$2:$E$154,"Hard",Problems!$G$2:$G$154,"Solution")</f>
        <v/>
      </c>
      <c r="E8" s="5">
        <f>COUNTIF(Problems!$G$2:$G$154,"Solution")</f>
        <v/>
      </c>
    </row>
    <row r="9">
      <c r="A9" s="5" t="inlineStr">
        <is>
          <t>Reviews due</t>
        </is>
      </c>
      <c r="B9" s="6">
        <f>COUNTIFS(Problems!$E$2:$E$154,"Easy",Problems!$K$2:$K$154,"*due")</f>
        <v/>
      </c>
      <c r="C9" s="6">
        <f>COUNTIFS(Problems!$E$2:$E$154,"Medium",Problems!$K$2:$K$154,"*due")</f>
        <v/>
      </c>
      <c r="D9" s="6">
        <f>COUNTIFS(Problems!$E$2:$E$154,"Hard",Problems!$K$2:$K$154,"*due")</f>
        <v/>
      </c>
      <c r="E9" s="5">
        <f>COUNTIF(Problems!$K$2:$K$154,"*due")</f>
        <v/>
      </c>
    </row>
    <row r="10">
      <c r="A10" s="5" t="inlineStr">
        <is>
          <t>Mastered or solved</t>
        </is>
      </c>
      <c r="B10" s="6">
        <f>COUNTIFS(Problems!$E$2:$E$154,"Easy",Problems!$K$2:$K$154,"Mastered")+COUNTIFS(Problems!$E$2:$E$154,"Easy",Problems!$K$2:$K$154,"Solved")</f>
        <v/>
      </c>
      <c r="C10" s="6">
        <f>COUNTIFS(Problems!$E$2:$E$154,"Medium",Problems!$K$2:$K$154,"Mastered")+COUNTIFS(Problems!$E$2:$E$154,"Medium",Problems!$K$2:$K$154,"Solved")</f>
        <v/>
      </c>
      <c r="D10" s="6">
        <f>COUNTIFS(Problems!$E$2:$E$154,"Hard",Problems!$K$2:$K$154,"Mastered")+COUNTIFS(Problems!$E$2:$E$154,"Hard",Problems!$K$2:$K$154,"Solved")</f>
        <v/>
      </c>
      <c r="E10" s="5">
        <f>COUNTIF(Problems!$K$2:$K$154,"Mastered")+COUNTIF(Problems!$K$2:$K$154,"Solved")</f>
        <v/>
      </c>
    </row>
    <row r="11">
      <c r="A11" s="5" t="inlineStr">
        <is>
          <t>Overall progress</t>
        </is>
      </c>
      <c r="B11" s="7">
        <f>IF(B4=0,0,B10/B4)</f>
        <v/>
      </c>
      <c r="C11" s="7">
        <f>IF(C4=0,0,C10/C4)</f>
        <v/>
      </c>
      <c r="D11" s="7">
        <f>IF(D4=0,0,D10/D4)</f>
        <v/>
      </c>
      <c r="E11" s="7">
        <f>IF(E4=0,0,E10/E4)</f>
        <v/>
      </c>
    </row>
    <row r="13">
      <c r="A13" s="5" t="inlineStr">
        <is>
          <t>Mock interviews done</t>
        </is>
      </c>
      <c r="B13" s="6">
        <f>COUNTA('Mock Interviews'!$C$2:$C$21)</f>
        <v/>
      </c>
    </row>
    <row r="14">
      <c r="A14" s="5" t="inlineStr">
        <is>
          <t>Avg communication (1–5)</t>
        </is>
      </c>
      <c r="B14" s="8">
        <f>IFERROR(AVERAGE('Mock Interviews'!$F$2:$F$21),"")</f>
        <v/>
      </c>
    </row>
    <row r="16">
      <c r="A16" s="4" t="inlineStr">
        <is>
          <t>Ready check (Y when true)</t>
        </is>
      </c>
      <c r="B16" s="9" t="n"/>
    </row>
    <row r="17">
      <c r="A17" s="3" t="inlineStr">
        <is>
          <t>I recognise the pattern in most Mediums within ~5 min</t>
        </is>
      </c>
      <c r="B17" s="10" t="n"/>
    </row>
    <row r="18">
      <c r="A18" s="3" t="inlineStr">
        <is>
          <t>I solve a Medium in 25–30 min while talking out loud</t>
        </is>
      </c>
      <c r="B18" s="10" t="n"/>
    </row>
    <row r="19">
      <c r="A19" s="3" t="inlineStr">
        <is>
          <t>I explain time/space complexity and trade-offs without guessing</t>
        </is>
      </c>
      <c r="B19" s="10" t="n"/>
    </row>
    <row r="20">
      <c r="A20" s="3" t="inlineStr">
        <is>
          <t>I can still solve problems from three weeks ago</t>
        </is>
      </c>
      <c r="B20" s="10" t="n"/>
    </row>
    <row r="21">
      <c r="A21" s="3" t="inlineStr">
        <is>
          <t>I've done at least 6 mock interviews</t>
        </is>
      </c>
      <c r="B21" s="10" t="n"/>
    </row>
    <row r="22">
      <c r="A22" s="5" t="inlineStr">
        <is>
          <t>Ready</t>
        </is>
      </c>
      <c r="B22" s="5">
        <f>IF(COUNTIF(B17:B21,"Y")=5,"Yes","Not yet")</f>
        <v/>
      </c>
    </row>
  </sheetData>
  <dataValidations count="1">
    <dataValidation sqref="B17:B21" showDropDown="0" showInputMessage="0" showErrorMessage="1" allowBlank="1" type="list" errorTitle="Y or empty" error="Enter Y, or leave it empty.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58" customWidth="1" min="4" max="4"/>
    <col width="10" customWidth="1" min="5" max="5"/>
    <col width="9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</cols>
  <sheetData>
    <row r="1">
      <c r="A1" s="11" t="inlineStr">
        <is>
          <t>Step</t>
        </is>
      </c>
      <c r="B1" s="11" t="inlineStr">
        <is>
          <t>Phase</t>
        </is>
      </c>
      <c r="C1" s="11" t="inlineStr">
        <is>
          <t>Topic</t>
        </is>
      </c>
      <c r="D1" s="11" t="inlineStr">
        <is>
          <t>What to cover</t>
        </is>
      </c>
      <c r="E1" s="11" t="inlineStr">
        <is>
          <t>Template done</t>
        </is>
      </c>
      <c r="F1" s="11" t="inlineStr">
        <is>
          <t>Note done</t>
        </is>
      </c>
      <c r="G1" s="11" t="inlineStr">
        <is>
          <t>Problems</t>
        </is>
      </c>
      <c r="H1" s="11" t="inlineStr">
        <is>
          <t>Tried</t>
        </is>
      </c>
      <c r="I1" s="11" t="inlineStr">
        <is>
          <t>Solo</t>
        </is>
      </c>
      <c r="J1" s="11" t="inlineStr">
        <is>
          <t>Mastered</t>
        </is>
      </c>
      <c r="K1" s="11" t="inlineStr">
        <is>
          <t>Progress</t>
        </is>
      </c>
    </row>
    <row r="2">
      <c r="A2" s="12" t="n">
        <v>1</v>
      </c>
      <c r="B2" s="12" t="inlineStr">
        <is>
          <t>0 · Foundations</t>
        </is>
      </c>
      <c r="C2" s="12" t="inlineStr">
        <is>
          <t>Big-O</t>
        </is>
      </c>
      <c r="D2" s="12" t="inlineStr">
        <is>
          <t>Time and space complexity; analyse every solution you write</t>
        </is>
      </c>
      <c r="E2" s="13" t="n"/>
      <c r="F2" s="13" t="n"/>
      <c r="G2" s="14">
        <f>COUNTIF(Problems!$C$2:$C$154,C2)</f>
        <v/>
      </c>
      <c r="H2" s="14">
        <f>COUNTIFS(Problems!$C$2:$C$154,C2,Problems!$G$2:$G$154,"Solo")+COUNTIFS(Problems!$C$2:$C$154,C2,Problems!$G$2:$G$154,"Hint")+COUNTIFS(Problems!$C$2:$C$154,C2,Problems!$G$2:$G$154,"Solution")</f>
        <v/>
      </c>
      <c r="I2" s="14">
        <f>COUNTIFS(Problems!$C$2:$C$154,C2,Problems!$G$2:$G$154,"Solo")</f>
        <v/>
      </c>
      <c r="J2" s="14">
        <f>COUNTIFS(Problems!$C$2:$C$154,C2,Problems!$K$2:$K$154,"Mastered")+COUNTIFS(Problems!$C$2:$C$154,C2,Problems!$K$2:$K$154,"Solved")</f>
        <v/>
      </c>
      <c r="K2" s="15">
        <f>IF(G2=0,"",J2/G2)</f>
        <v/>
      </c>
    </row>
    <row r="3">
      <c r="A3" s="12" t="n">
        <v>2</v>
      </c>
      <c r="B3" s="12" t="inlineStr">
        <is>
          <t>0 · Foundations</t>
        </is>
      </c>
      <c r="C3" s="12" t="inlineStr">
        <is>
          <t>Recursion</t>
        </is>
      </c>
      <c r="D3" s="12" t="inlineStr">
        <is>
          <t>Call stack, base cases, recursion trees</t>
        </is>
      </c>
      <c r="E3" s="13" t="n"/>
      <c r="F3" s="13" t="n"/>
      <c r="G3" s="14">
        <f>COUNTIF(Problems!$C$2:$C$154,C3)</f>
        <v/>
      </c>
      <c r="H3" s="14">
        <f>COUNTIFS(Problems!$C$2:$C$154,C3,Problems!$G$2:$G$154,"Solo")+COUNTIFS(Problems!$C$2:$C$154,C3,Problems!$G$2:$G$154,"Hint")+COUNTIFS(Problems!$C$2:$C$154,C3,Problems!$G$2:$G$154,"Solution")</f>
        <v/>
      </c>
      <c r="I3" s="14">
        <f>COUNTIFS(Problems!$C$2:$C$154,C3,Problems!$G$2:$G$154,"Solo")</f>
        <v/>
      </c>
      <c r="J3" s="14">
        <f>COUNTIFS(Problems!$C$2:$C$154,C3,Problems!$K$2:$K$154,"Mastered")+COUNTIFS(Problems!$C$2:$C$154,C3,Problems!$K$2:$K$154,"Solved")</f>
        <v/>
      </c>
      <c r="K3" s="15">
        <f>IF(G3=0,"",J3/G3)</f>
        <v/>
      </c>
    </row>
    <row r="4">
      <c r="A4" s="12" t="n">
        <v>3</v>
      </c>
      <c r="B4" s="12" t="inlineStr">
        <is>
          <t>0 · Foundations</t>
        </is>
      </c>
      <c r="C4" s="12" t="inlineStr">
        <is>
          <t>Core data structures</t>
        </is>
      </c>
      <c r="D4" s="12" t="inlineStr">
        <is>
          <t>How arrays, hash maps and sets work inside, and what each operation costs</t>
        </is>
      </c>
      <c r="E4" s="13" t="n"/>
      <c r="F4" s="13" t="n"/>
      <c r="G4" s="14">
        <f>COUNTIF(Problems!$C$2:$C$154,C4)</f>
        <v/>
      </c>
      <c r="H4" s="14">
        <f>COUNTIFS(Problems!$C$2:$C$154,C4,Problems!$G$2:$G$154,"Solo")+COUNTIFS(Problems!$C$2:$C$154,C4,Problems!$G$2:$G$154,"Hint")+COUNTIFS(Problems!$C$2:$C$154,C4,Problems!$G$2:$G$154,"Solution")</f>
        <v/>
      </c>
      <c r="I4" s="14">
        <f>COUNTIFS(Problems!$C$2:$C$154,C4,Problems!$G$2:$G$154,"Solo")</f>
        <v/>
      </c>
      <c r="J4" s="14">
        <f>COUNTIFS(Problems!$C$2:$C$154,C4,Problems!$K$2:$K$154,"Mastered")+COUNTIFS(Problems!$C$2:$C$154,C4,Problems!$K$2:$K$154,"Solved")</f>
        <v/>
      </c>
      <c r="K4" s="15">
        <f>IF(G4=0,"",J4/G4)</f>
        <v/>
      </c>
    </row>
    <row r="5">
      <c r="A5" s="12" t="n">
        <v>4</v>
      </c>
      <c r="B5" s="12" t="inlineStr">
        <is>
          <t>0 · Foundations</t>
        </is>
      </c>
      <c r="C5" s="12" t="inlineStr">
        <is>
          <t>Swift toolkit</t>
        </is>
      </c>
      <c r="D5" s="12" t="inlineStr">
        <is>
          <t>Array(s) for strings; write Heap and Deque from memory in ~5 min; Dictionary, Set, sorted(by:), reduce, zip, stride</t>
        </is>
      </c>
      <c r="E5" s="13" t="n"/>
      <c r="F5" s="13" t="n"/>
      <c r="G5" s="14">
        <f>COUNTIF(Problems!$C$2:$C$154,C5)</f>
        <v/>
      </c>
      <c r="H5" s="14">
        <f>COUNTIFS(Problems!$C$2:$C$154,C5,Problems!$G$2:$G$154,"Solo")+COUNTIFS(Problems!$C$2:$C$154,C5,Problems!$G$2:$G$154,"Hint")+COUNTIFS(Problems!$C$2:$C$154,C5,Problems!$G$2:$G$154,"Solution")</f>
        <v/>
      </c>
      <c r="I5" s="14">
        <f>COUNTIFS(Problems!$C$2:$C$154,C5,Problems!$G$2:$G$154,"Solo")</f>
        <v/>
      </c>
      <c r="J5" s="14">
        <f>COUNTIFS(Problems!$C$2:$C$154,C5,Problems!$K$2:$K$154,"Mastered")+COUNTIFS(Problems!$C$2:$C$154,C5,Problems!$K$2:$K$154,"Solved")</f>
        <v/>
      </c>
      <c r="K5" s="15">
        <f>IF(G5=0,"",J5/G5)</f>
        <v/>
      </c>
    </row>
    <row r="6">
      <c r="A6" s="12" t="n">
        <v>5</v>
      </c>
      <c r="B6" s="12" t="inlineStr">
        <is>
          <t>1 · Core patterns</t>
        </is>
      </c>
      <c r="C6" s="12" t="inlineStr">
        <is>
          <t>Arrays &amp; Hashing</t>
        </is>
      </c>
      <c r="D6" s="12" t="inlineStr">
        <is>
          <t>Hash maps/sets for counting, grouping, lookups</t>
        </is>
      </c>
      <c r="E6" s="13" t="n"/>
      <c r="F6" s="13" t="n"/>
      <c r="G6" s="14">
        <f>COUNTIF(Problems!$C$2:$C$154,C6)</f>
        <v/>
      </c>
      <c r="H6" s="14">
        <f>COUNTIFS(Problems!$C$2:$C$154,C6,Problems!$G$2:$G$154,"Solo")+COUNTIFS(Problems!$C$2:$C$154,C6,Problems!$G$2:$G$154,"Hint")+COUNTIFS(Problems!$C$2:$C$154,C6,Problems!$G$2:$G$154,"Solution")</f>
        <v/>
      </c>
      <c r="I6" s="14">
        <f>COUNTIFS(Problems!$C$2:$C$154,C6,Problems!$G$2:$G$154,"Solo")</f>
        <v/>
      </c>
      <c r="J6" s="14">
        <f>COUNTIFS(Problems!$C$2:$C$154,C6,Problems!$K$2:$K$154,"Mastered")+COUNTIFS(Problems!$C$2:$C$154,C6,Problems!$K$2:$K$154,"Solved")</f>
        <v/>
      </c>
      <c r="K6" s="15">
        <f>IF(G6=0,"",J6/G6)</f>
        <v/>
      </c>
    </row>
    <row r="7">
      <c r="A7" s="12" t="n">
        <v>6</v>
      </c>
      <c r="B7" s="12" t="inlineStr">
        <is>
          <t>1 · Core patterns</t>
        </is>
      </c>
      <c r="C7" s="12" t="inlineStr">
        <is>
          <t>Two Pointers</t>
        </is>
      </c>
      <c r="D7" s="12" t="inlineStr">
        <is>
          <t>Opposite ends and same-direction pointers on sorted data</t>
        </is>
      </c>
      <c r="E7" s="13" t="n"/>
      <c r="F7" s="13" t="n"/>
      <c r="G7" s="14">
        <f>COUNTIF(Problems!$C$2:$C$154,C7)</f>
        <v/>
      </c>
      <c r="H7" s="14">
        <f>COUNTIFS(Problems!$C$2:$C$154,C7,Problems!$G$2:$G$154,"Solo")+COUNTIFS(Problems!$C$2:$C$154,C7,Problems!$G$2:$G$154,"Hint")+COUNTIFS(Problems!$C$2:$C$154,C7,Problems!$G$2:$G$154,"Solution")</f>
        <v/>
      </c>
      <c r="I7" s="14">
        <f>COUNTIFS(Problems!$C$2:$C$154,C7,Problems!$G$2:$G$154,"Solo")</f>
        <v/>
      </c>
      <c r="J7" s="14">
        <f>COUNTIFS(Problems!$C$2:$C$154,C7,Problems!$K$2:$K$154,"Mastered")+COUNTIFS(Problems!$C$2:$C$154,C7,Problems!$K$2:$K$154,"Solved")</f>
        <v/>
      </c>
      <c r="K7" s="15">
        <f>IF(G7=0,"",J7/G7)</f>
        <v/>
      </c>
    </row>
    <row r="8">
      <c r="A8" s="12" t="n">
        <v>7</v>
      </c>
      <c r="B8" s="12" t="inlineStr">
        <is>
          <t>1 · Core patterns</t>
        </is>
      </c>
      <c r="C8" s="12" t="inlineStr">
        <is>
          <t>Sliding Window</t>
        </is>
      </c>
      <c r="D8" s="12" t="inlineStr">
        <is>
          <t>Fixed and variable-size windows</t>
        </is>
      </c>
      <c r="E8" s="13" t="n"/>
      <c r="F8" s="13" t="n"/>
      <c r="G8" s="14">
        <f>COUNTIF(Problems!$C$2:$C$154,C8)</f>
        <v/>
      </c>
      <c r="H8" s="14">
        <f>COUNTIFS(Problems!$C$2:$C$154,C8,Problems!$G$2:$G$154,"Solo")+COUNTIFS(Problems!$C$2:$C$154,C8,Problems!$G$2:$G$154,"Hint")+COUNTIFS(Problems!$C$2:$C$154,C8,Problems!$G$2:$G$154,"Solution")</f>
        <v/>
      </c>
      <c r="I8" s="14">
        <f>COUNTIFS(Problems!$C$2:$C$154,C8,Problems!$G$2:$G$154,"Solo")</f>
        <v/>
      </c>
      <c r="J8" s="14">
        <f>COUNTIFS(Problems!$C$2:$C$154,C8,Problems!$K$2:$K$154,"Mastered")+COUNTIFS(Problems!$C$2:$C$154,C8,Problems!$K$2:$K$154,"Solved")</f>
        <v/>
      </c>
      <c r="K8" s="15">
        <f>IF(G8=0,"",J8/G8)</f>
        <v/>
      </c>
    </row>
    <row r="9">
      <c r="A9" s="12" t="n">
        <v>8</v>
      </c>
      <c r="B9" s="12" t="inlineStr">
        <is>
          <t>1 · Core patterns</t>
        </is>
      </c>
      <c r="C9" s="12" t="inlineStr">
        <is>
          <t>Prefix Sums</t>
        </is>
      </c>
      <c r="D9" s="12" t="inlineStr">
        <is>
          <t>Running totals; prefix sum + hash map for subarray sums</t>
        </is>
      </c>
      <c r="E9" s="13" t="n"/>
      <c r="F9" s="13" t="n"/>
      <c r="G9" s="14">
        <f>COUNTIF(Problems!$C$2:$C$154,C9)</f>
        <v/>
      </c>
      <c r="H9" s="14">
        <f>COUNTIFS(Problems!$C$2:$C$154,C9,Problems!$G$2:$G$154,"Solo")+COUNTIFS(Problems!$C$2:$C$154,C9,Problems!$G$2:$G$154,"Hint")+COUNTIFS(Problems!$C$2:$C$154,C9,Problems!$G$2:$G$154,"Solution")</f>
        <v/>
      </c>
      <c r="I9" s="14">
        <f>COUNTIFS(Problems!$C$2:$C$154,C9,Problems!$G$2:$G$154,"Solo")</f>
        <v/>
      </c>
      <c r="J9" s="14">
        <f>COUNTIFS(Problems!$C$2:$C$154,C9,Problems!$K$2:$K$154,"Mastered")+COUNTIFS(Problems!$C$2:$C$154,C9,Problems!$K$2:$K$154,"Solved")</f>
        <v/>
      </c>
      <c r="K9" s="15">
        <f>IF(G9=0,"",J9/G9)</f>
        <v/>
      </c>
    </row>
    <row r="10">
      <c r="A10" s="12" t="n">
        <v>9</v>
      </c>
      <c r="B10" s="12" t="inlineStr">
        <is>
          <t>1 · Core patterns</t>
        </is>
      </c>
      <c r="C10" s="12" t="inlineStr">
        <is>
          <t>Stack</t>
        </is>
      </c>
      <c r="D10" s="12" t="inlineStr">
        <is>
          <t>Matching, evaluation, monotonic stack</t>
        </is>
      </c>
      <c r="E10" s="13" t="n"/>
      <c r="F10" s="13" t="n"/>
      <c r="G10" s="14">
        <f>COUNTIF(Problems!$C$2:$C$154,C10)</f>
        <v/>
      </c>
      <c r="H10" s="14">
        <f>COUNTIFS(Problems!$C$2:$C$154,C10,Problems!$G$2:$G$154,"Solo")+COUNTIFS(Problems!$C$2:$C$154,C10,Problems!$G$2:$G$154,"Hint")+COUNTIFS(Problems!$C$2:$C$154,C10,Problems!$G$2:$G$154,"Solution")</f>
        <v/>
      </c>
      <c r="I10" s="14">
        <f>COUNTIFS(Problems!$C$2:$C$154,C10,Problems!$G$2:$G$154,"Solo")</f>
        <v/>
      </c>
      <c r="J10" s="14">
        <f>COUNTIFS(Problems!$C$2:$C$154,C10,Problems!$K$2:$K$154,"Mastered")+COUNTIFS(Problems!$C$2:$C$154,C10,Problems!$K$2:$K$154,"Solved")</f>
        <v/>
      </c>
      <c r="K10" s="15">
        <f>IF(G10=0,"",J10/G10)</f>
        <v/>
      </c>
    </row>
    <row r="11">
      <c r="A11" s="12" t="n">
        <v>10</v>
      </c>
      <c r="B11" s="12" t="inlineStr">
        <is>
          <t>1 · Core patterns</t>
        </is>
      </c>
      <c r="C11" s="12" t="inlineStr">
        <is>
          <t>Binary Search</t>
        </is>
      </c>
      <c r="D11" s="12" t="inlineStr">
        <is>
          <t>Classic, rotated arrays, binary search on the answer</t>
        </is>
      </c>
      <c r="E11" s="13" t="n"/>
      <c r="F11" s="13" t="n"/>
      <c r="G11" s="14">
        <f>COUNTIF(Problems!$C$2:$C$154,C11)</f>
        <v/>
      </c>
      <c r="H11" s="14">
        <f>COUNTIFS(Problems!$C$2:$C$154,C11,Problems!$G$2:$G$154,"Solo")+COUNTIFS(Problems!$C$2:$C$154,C11,Problems!$G$2:$G$154,"Hint")+COUNTIFS(Problems!$C$2:$C$154,C11,Problems!$G$2:$G$154,"Solution")</f>
        <v/>
      </c>
      <c r="I11" s="14">
        <f>COUNTIFS(Problems!$C$2:$C$154,C11,Problems!$G$2:$G$154,"Solo")</f>
        <v/>
      </c>
      <c r="J11" s="14">
        <f>COUNTIFS(Problems!$C$2:$C$154,C11,Problems!$K$2:$K$154,"Mastered")+COUNTIFS(Problems!$C$2:$C$154,C11,Problems!$K$2:$K$154,"Solved")</f>
        <v/>
      </c>
      <c r="K11" s="15">
        <f>IF(G11=0,"",J11/G11)</f>
        <v/>
      </c>
    </row>
    <row r="12">
      <c r="A12" s="12" t="n">
        <v>11</v>
      </c>
      <c r="B12" s="12" t="inlineStr">
        <is>
          <t>1 · Core patterns</t>
        </is>
      </c>
      <c r="C12" s="12" t="inlineStr">
        <is>
          <t>Linked List</t>
        </is>
      </c>
      <c r="D12" s="12" t="inlineStr">
        <is>
          <t>Reversal, fast and slow pointers, dummy head</t>
        </is>
      </c>
      <c r="E12" s="13" t="n"/>
      <c r="F12" s="13" t="n"/>
      <c r="G12" s="14">
        <f>COUNTIF(Problems!$C$2:$C$154,C12)</f>
        <v/>
      </c>
      <c r="H12" s="14">
        <f>COUNTIFS(Problems!$C$2:$C$154,C12,Problems!$G$2:$G$154,"Solo")+COUNTIFS(Problems!$C$2:$C$154,C12,Problems!$G$2:$G$154,"Hint")+COUNTIFS(Problems!$C$2:$C$154,C12,Problems!$G$2:$G$154,"Solution")</f>
        <v/>
      </c>
      <c r="I12" s="14">
        <f>COUNTIFS(Problems!$C$2:$C$154,C12,Problems!$G$2:$G$154,"Solo")</f>
        <v/>
      </c>
      <c r="J12" s="14">
        <f>COUNTIFS(Problems!$C$2:$C$154,C12,Problems!$K$2:$K$154,"Mastered")+COUNTIFS(Problems!$C$2:$C$154,C12,Problems!$K$2:$K$154,"Solved")</f>
        <v/>
      </c>
      <c r="K12" s="15">
        <f>IF(G12=0,"",J12/G12)</f>
        <v/>
      </c>
    </row>
    <row r="13">
      <c r="A13" s="12" t="n">
        <v>12</v>
      </c>
      <c r="B13" s="12" t="inlineStr">
        <is>
          <t>1 · Core patterns</t>
        </is>
      </c>
      <c r="C13" s="12" t="inlineStr">
        <is>
          <t>Intervals</t>
        </is>
      </c>
      <c r="D13" s="12" t="inlineStr">
        <is>
          <t>Sort by start, merge, sweep</t>
        </is>
      </c>
      <c r="E13" s="13" t="n"/>
      <c r="F13" s="13" t="n"/>
      <c r="G13" s="14">
        <f>COUNTIF(Problems!$C$2:$C$154,C13)</f>
        <v/>
      </c>
      <c r="H13" s="14">
        <f>COUNTIFS(Problems!$C$2:$C$154,C13,Problems!$G$2:$G$154,"Solo")+COUNTIFS(Problems!$C$2:$C$154,C13,Problems!$G$2:$G$154,"Hint")+COUNTIFS(Problems!$C$2:$C$154,C13,Problems!$G$2:$G$154,"Solution")</f>
        <v/>
      </c>
      <c r="I13" s="14">
        <f>COUNTIFS(Problems!$C$2:$C$154,C13,Problems!$G$2:$G$154,"Solo")</f>
        <v/>
      </c>
      <c r="J13" s="14">
        <f>COUNTIFS(Problems!$C$2:$C$154,C13,Problems!$K$2:$K$154,"Mastered")+COUNTIFS(Problems!$C$2:$C$154,C13,Problems!$K$2:$K$154,"Solved")</f>
        <v/>
      </c>
      <c r="K13" s="15">
        <f>IF(G13=0,"",J13/G13)</f>
        <v/>
      </c>
    </row>
    <row r="14">
      <c r="A14" s="12" t="n">
        <v>13</v>
      </c>
      <c r="B14" s="12" t="inlineStr">
        <is>
          <t>2 · Trees &amp; graphs</t>
        </is>
      </c>
      <c r="C14" s="12" t="inlineStr">
        <is>
          <t>Trees</t>
        </is>
      </c>
      <c r="D14" s="12" t="inlineStr">
        <is>
          <t>DFS pre/in/post-order, BFS by level, BST properties</t>
        </is>
      </c>
      <c r="E14" s="13" t="n"/>
      <c r="F14" s="13" t="n"/>
      <c r="G14" s="14">
        <f>COUNTIF(Problems!$C$2:$C$154,C14)</f>
        <v/>
      </c>
      <c r="H14" s="14">
        <f>COUNTIFS(Problems!$C$2:$C$154,C14,Problems!$G$2:$G$154,"Solo")+COUNTIFS(Problems!$C$2:$C$154,C14,Problems!$G$2:$G$154,"Hint")+COUNTIFS(Problems!$C$2:$C$154,C14,Problems!$G$2:$G$154,"Solution")</f>
        <v/>
      </c>
      <c r="I14" s="14">
        <f>COUNTIFS(Problems!$C$2:$C$154,C14,Problems!$G$2:$G$154,"Solo")</f>
        <v/>
      </c>
      <c r="J14" s="14">
        <f>COUNTIFS(Problems!$C$2:$C$154,C14,Problems!$K$2:$K$154,"Mastered")+COUNTIFS(Problems!$C$2:$C$154,C14,Problems!$K$2:$K$154,"Solved")</f>
        <v/>
      </c>
      <c r="K14" s="15">
        <f>IF(G14=0,"",J14/G14)</f>
        <v/>
      </c>
    </row>
    <row r="15">
      <c r="A15" s="12" t="n">
        <v>14</v>
      </c>
      <c r="B15" s="12" t="inlineStr">
        <is>
          <t>2 · Trees &amp; graphs</t>
        </is>
      </c>
      <c r="C15" s="12" t="inlineStr">
        <is>
          <t>Heap / Priority Queue</t>
        </is>
      </c>
      <c r="D15" s="12" t="inlineStr">
        <is>
          <t>Top-K, merging K lists, two heaps for a median</t>
        </is>
      </c>
      <c r="E15" s="13" t="n"/>
      <c r="F15" s="13" t="n"/>
      <c r="G15" s="14">
        <f>COUNTIF(Problems!$C$2:$C$154,C15)</f>
        <v/>
      </c>
      <c r="H15" s="14">
        <f>COUNTIFS(Problems!$C$2:$C$154,C15,Problems!$G$2:$G$154,"Solo")+COUNTIFS(Problems!$C$2:$C$154,C15,Problems!$G$2:$G$154,"Hint")+COUNTIFS(Problems!$C$2:$C$154,C15,Problems!$G$2:$G$154,"Solution")</f>
        <v/>
      </c>
      <c r="I15" s="14">
        <f>COUNTIFS(Problems!$C$2:$C$154,C15,Problems!$G$2:$G$154,"Solo")</f>
        <v/>
      </c>
      <c r="J15" s="14">
        <f>COUNTIFS(Problems!$C$2:$C$154,C15,Problems!$K$2:$K$154,"Mastered")+COUNTIFS(Problems!$C$2:$C$154,C15,Problems!$K$2:$K$154,"Solved")</f>
        <v/>
      </c>
      <c r="K15" s="15">
        <f>IF(G15=0,"",J15/G15)</f>
        <v/>
      </c>
    </row>
    <row r="16">
      <c r="A16" s="12" t="n">
        <v>15</v>
      </c>
      <c r="B16" s="12" t="inlineStr">
        <is>
          <t>2 · Trees &amp; graphs</t>
        </is>
      </c>
      <c r="C16" s="12" t="inlineStr">
        <is>
          <t>Backtracking</t>
        </is>
      </c>
      <c r="D16" s="12" t="inlineStr">
        <is>
          <t>Subsets, permutations, combinations, grid search</t>
        </is>
      </c>
      <c r="E16" s="13" t="n"/>
      <c r="F16" s="13" t="n"/>
      <c r="G16" s="14">
        <f>COUNTIF(Problems!$C$2:$C$154,C16)</f>
        <v/>
      </c>
      <c r="H16" s="14">
        <f>COUNTIFS(Problems!$C$2:$C$154,C16,Problems!$G$2:$G$154,"Solo")+COUNTIFS(Problems!$C$2:$C$154,C16,Problems!$G$2:$G$154,"Hint")+COUNTIFS(Problems!$C$2:$C$154,C16,Problems!$G$2:$G$154,"Solution")</f>
        <v/>
      </c>
      <c r="I16" s="14">
        <f>COUNTIFS(Problems!$C$2:$C$154,C16,Problems!$G$2:$G$154,"Solo")</f>
        <v/>
      </c>
      <c r="J16" s="14">
        <f>COUNTIFS(Problems!$C$2:$C$154,C16,Problems!$K$2:$K$154,"Mastered")+COUNTIFS(Problems!$C$2:$C$154,C16,Problems!$K$2:$K$154,"Solved")</f>
        <v/>
      </c>
      <c r="K16" s="15">
        <f>IF(G16=0,"",J16/G16)</f>
        <v/>
      </c>
    </row>
    <row r="17">
      <c r="A17" s="12" t="n">
        <v>16</v>
      </c>
      <c r="B17" s="12" t="inlineStr">
        <is>
          <t>2 · Trees &amp; graphs</t>
        </is>
      </c>
      <c r="C17" s="12" t="inlineStr">
        <is>
          <t>Graphs</t>
        </is>
      </c>
      <c r="D17" s="12" t="inlineStr">
        <is>
          <t>BFS/DFS on grids and adjacency lists, cycle detection, topological sort, union-find</t>
        </is>
      </c>
      <c r="E17" s="13" t="n"/>
      <c r="F17" s="13" t="n"/>
      <c r="G17" s="14">
        <f>COUNTIF(Problems!$C$2:$C$154,C17)</f>
        <v/>
      </c>
      <c r="H17" s="14">
        <f>COUNTIFS(Problems!$C$2:$C$154,C17,Problems!$G$2:$G$154,"Solo")+COUNTIFS(Problems!$C$2:$C$154,C17,Problems!$G$2:$G$154,"Hint")+COUNTIFS(Problems!$C$2:$C$154,C17,Problems!$G$2:$G$154,"Solution")</f>
        <v/>
      </c>
      <c r="I17" s="14">
        <f>COUNTIFS(Problems!$C$2:$C$154,C17,Problems!$G$2:$G$154,"Solo")</f>
        <v/>
      </c>
      <c r="J17" s="14">
        <f>COUNTIFS(Problems!$C$2:$C$154,C17,Problems!$K$2:$K$154,"Mastered")+COUNTIFS(Problems!$C$2:$C$154,C17,Problems!$K$2:$K$154,"Solved")</f>
        <v/>
      </c>
      <c r="K17" s="15">
        <f>IF(G17=0,"",J17/G17)</f>
        <v/>
      </c>
    </row>
    <row r="18">
      <c r="A18" s="12" t="n">
        <v>17</v>
      </c>
      <c r="B18" s="12" t="inlineStr">
        <is>
          <t>2 · Trees &amp; graphs</t>
        </is>
      </c>
      <c r="C18" s="12" t="inlineStr">
        <is>
          <t>Advanced Graphs</t>
        </is>
      </c>
      <c r="D18" s="12" t="inlineStr">
        <is>
          <t>Dijkstra, MST (Prim/Kruskal), Bellman-Ford style</t>
        </is>
      </c>
      <c r="E18" s="13" t="n"/>
      <c r="F18" s="13" t="n"/>
      <c r="G18" s="14">
        <f>COUNTIF(Problems!$C$2:$C$154,C18)</f>
        <v/>
      </c>
      <c r="H18" s="14">
        <f>COUNTIFS(Problems!$C$2:$C$154,C18,Problems!$G$2:$G$154,"Solo")+COUNTIFS(Problems!$C$2:$C$154,C18,Problems!$G$2:$G$154,"Hint")+COUNTIFS(Problems!$C$2:$C$154,C18,Problems!$G$2:$G$154,"Solution")</f>
        <v/>
      </c>
      <c r="I18" s="14">
        <f>COUNTIFS(Problems!$C$2:$C$154,C18,Problems!$G$2:$G$154,"Solo")</f>
        <v/>
      </c>
      <c r="J18" s="14">
        <f>COUNTIFS(Problems!$C$2:$C$154,C18,Problems!$K$2:$K$154,"Mastered")+COUNTIFS(Problems!$C$2:$C$154,C18,Problems!$K$2:$K$154,"Solved")</f>
        <v/>
      </c>
      <c r="K18" s="15">
        <f>IF(G18=0,"",J18/G18)</f>
        <v/>
      </c>
    </row>
    <row r="19">
      <c r="A19" s="12" t="n">
        <v>18</v>
      </c>
      <c r="B19" s="12" t="inlineStr">
        <is>
          <t>2 · Trees &amp; graphs</t>
        </is>
      </c>
      <c r="C19" s="12" t="inlineStr">
        <is>
          <t>Greedy</t>
        </is>
      </c>
      <c r="D19" s="12" t="inlineStr">
        <is>
          <t>Local choice with proof; Kadane</t>
        </is>
      </c>
      <c r="E19" s="13" t="n"/>
      <c r="F19" s="13" t="n"/>
      <c r="G19" s="14">
        <f>COUNTIF(Problems!$C$2:$C$154,C19)</f>
        <v/>
      </c>
      <c r="H19" s="14">
        <f>COUNTIFS(Problems!$C$2:$C$154,C19,Problems!$G$2:$G$154,"Solo")+COUNTIFS(Problems!$C$2:$C$154,C19,Problems!$G$2:$G$154,"Hint")+COUNTIFS(Problems!$C$2:$C$154,C19,Problems!$G$2:$G$154,"Solution")</f>
        <v/>
      </c>
      <c r="I19" s="14">
        <f>COUNTIFS(Problems!$C$2:$C$154,C19,Problems!$G$2:$G$154,"Solo")</f>
        <v/>
      </c>
      <c r="J19" s="14">
        <f>COUNTIFS(Problems!$C$2:$C$154,C19,Problems!$K$2:$K$154,"Mastered")+COUNTIFS(Problems!$C$2:$C$154,C19,Problems!$K$2:$K$154,"Solved")</f>
        <v/>
      </c>
      <c r="K19" s="15">
        <f>IF(G19=0,"",J19/G19)</f>
        <v/>
      </c>
    </row>
    <row r="20">
      <c r="A20" s="12" t="n">
        <v>19</v>
      </c>
      <c r="B20" s="12" t="inlineStr">
        <is>
          <t>3 · DP &amp; advanced</t>
        </is>
      </c>
      <c r="C20" s="12" t="inlineStr">
        <is>
          <t>1-D Dynamic Programming</t>
        </is>
      </c>
      <c r="D20" s="12" t="inlineStr">
        <is>
          <t>Climbing stairs, house robber, coin change, LIS, knapsack</t>
        </is>
      </c>
      <c r="E20" s="13" t="n"/>
      <c r="F20" s="13" t="n"/>
      <c r="G20" s="14">
        <f>COUNTIF(Problems!$C$2:$C$154,C20)</f>
        <v/>
      </c>
      <c r="H20" s="14">
        <f>COUNTIFS(Problems!$C$2:$C$154,C20,Problems!$G$2:$G$154,"Solo")+COUNTIFS(Problems!$C$2:$C$154,C20,Problems!$G$2:$G$154,"Hint")+COUNTIFS(Problems!$C$2:$C$154,C20,Problems!$G$2:$G$154,"Solution")</f>
        <v/>
      </c>
      <c r="I20" s="14">
        <f>COUNTIFS(Problems!$C$2:$C$154,C20,Problems!$G$2:$G$154,"Solo")</f>
        <v/>
      </c>
      <c r="J20" s="14">
        <f>COUNTIFS(Problems!$C$2:$C$154,C20,Problems!$K$2:$K$154,"Mastered")+COUNTIFS(Problems!$C$2:$C$154,C20,Problems!$K$2:$K$154,"Solved")</f>
        <v/>
      </c>
      <c r="K20" s="15">
        <f>IF(G20=0,"",J20/G20)</f>
        <v/>
      </c>
    </row>
    <row r="21">
      <c r="A21" s="12" t="n">
        <v>20</v>
      </c>
      <c r="B21" s="12" t="inlineStr">
        <is>
          <t>3 · DP &amp; advanced</t>
        </is>
      </c>
      <c r="C21" s="12" t="inlineStr">
        <is>
          <t>2-D Dynamic Programming</t>
        </is>
      </c>
      <c r="D21" s="12" t="inlineStr">
        <is>
          <t>Grid paths, LCS, edit distance, interval DP, DP on strings</t>
        </is>
      </c>
      <c r="E21" s="13" t="n"/>
      <c r="F21" s="13" t="n"/>
      <c r="G21" s="14">
        <f>COUNTIF(Problems!$C$2:$C$154,C21)</f>
        <v/>
      </c>
      <c r="H21" s="14">
        <f>COUNTIFS(Problems!$C$2:$C$154,C21,Problems!$G$2:$G$154,"Solo")+COUNTIFS(Problems!$C$2:$C$154,C21,Problems!$G$2:$G$154,"Hint")+COUNTIFS(Problems!$C$2:$C$154,C21,Problems!$G$2:$G$154,"Solution")</f>
        <v/>
      </c>
      <c r="I21" s="14">
        <f>COUNTIFS(Problems!$C$2:$C$154,C21,Problems!$G$2:$G$154,"Solo")</f>
        <v/>
      </c>
      <c r="J21" s="14">
        <f>COUNTIFS(Problems!$C$2:$C$154,C21,Problems!$K$2:$K$154,"Mastered")+COUNTIFS(Problems!$C$2:$C$154,C21,Problems!$K$2:$K$154,"Solved")</f>
        <v/>
      </c>
      <c r="K21" s="15">
        <f>IF(G21=0,"",J21/G21)</f>
        <v/>
      </c>
    </row>
    <row r="22">
      <c r="A22" s="12" t="n">
        <v>21</v>
      </c>
      <c r="B22" s="12" t="inlineStr">
        <is>
          <t>3 · DP &amp; advanced</t>
        </is>
      </c>
      <c r="C22" s="12" t="inlineStr">
        <is>
          <t>Tries</t>
        </is>
      </c>
      <c r="D22" s="12" t="inlineStr">
        <is>
          <t>Prefix trees, word search</t>
        </is>
      </c>
      <c r="E22" s="13" t="n"/>
      <c r="F22" s="13" t="n"/>
      <c r="G22" s="14">
        <f>COUNTIF(Problems!$C$2:$C$154,C22)</f>
        <v/>
      </c>
      <c r="H22" s="14">
        <f>COUNTIFS(Problems!$C$2:$C$154,C22,Problems!$G$2:$G$154,"Solo")+COUNTIFS(Problems!$C$2:$C$154,C22,Problems!$G$2:$G$154,"Hint")+COUNTIFS(Problems!$C$2:$C$154,C22,Problems!$G$2:$G$154,"Solution")</f>
        <v/>
      </c>
      <c r="I22" s="14">
        <f>COUNTIFS(Problems!$C$2:$C$154,C22,Problems!$G$2:$G$154,"Solo")</f>
        <v/>
      </c>
      <c r="J22" s="14">
        <f>COUNTIFS(Problems!$C$2:$C$154,C22,Problems!$K$2:$K$154,"Mastered")+COUNTIFS(Problems!$C$2:$C$154,C22,Problems!$K$2:$K$154,"Solved")</f>
        <v/>
      </c>
      <c r="K22" s="15">
        <f>IF(G22=0,"",J22/G22)</f>
        <v/>
      </c>
    </row>
    <row r="23">
      <c r="A23" s="12" t="n">
        <v>22</v>
      </c>
      <c r="B23" s="12" t="inlineStr">
        <is>
          <t>3 · DP &amp; advanced</t>
        </is>
      </c>
      <c r="C23" s="12" t="inlineStr">
        <is>
          <t>Bit Manipulation</t>
        </is>
      </c>
      <c r="D23" s="12" t="inlineStr">
        <is>
          <t>XOR tricks, masks, counting bits</t>
        </is>
      </c>
      <c r="E23" s="13" t="n"/>
      <c r="F23" s="13" t="n"/>
      <c r="G23" s="14">
        <f>COUNTIF(Problems!$C$2:$C$154,C23)</f>
        <v/>
      </c>
      <c r="H23" s="14">
        <f>COUNTIFS(Problems!$C$2:$C$154,C23,Problems!$G$2:$G$154,"Solo")+COUNTIFS(Problems!$C$2:$C$154,C23,Problems!$G$2:$G$154,"Hint")+COUNTIFS(Problems!$C$2:$C$154,C23,Problems!$G$2:$G$154,"Solution")</f>
        <v/>
      </c>
      <c r="I23" s="14">
        <f>COUNTIFS(Problems!$C$2:$C$154,C23,Problems!$G$2:$G$154,"Solo")</f>
        <v/>
      </c>
      <c r="J23" s="14">
        <f>COUNTIFS(Problems!$C$2:$C$154,C23,Problems!$K$2:$K$154,"Mastered")+COUNTIFS(Problems!$C$2:$C$154,C23,Problems!$K$2:$K$154,"Solved")</f>
        <v/>
      </c>
      <c r="K23" s="15">
        <f>IF(G23=0,"",J23/G23)</f>
        <v/>
      </c>
    </row>
    <row r="24">
      <c r="A24" s="12" t="n">
        <v>23</v>
      </c>
      <c r="B24" s="12" t="inlineStr">
        <is>
          <t>3 · DP &amp; advanced</t>
        </is>
      </c>
      <c r="C24" s="12" t="inlineStr">
        <is>
          <t>Math &amp; Geometry</t>
        </is>
      </c>
      <c r="D24" s="12" t="inlineStr">
        <is>
          <t>Matrix rotation and traversal, fast power</t>
        </is>
      </c>
      <c r="E24" s="13" t="n"/>
      <c r="F24" s="13" t="n"/>
      <c r="G24" s="14">
        <f>COUNTIF(Problems!$C$2:$C$154,C24)</f>
        <v/>
      </c>
      <c r="H24" s="14">
        <f>COUNTIFS(Problems!$C$2:$C$154,C24,Problems!$G$2:$G$154,"Solo")+COUNTIFS(Problems!$C$2:$C$154,C24,Problems!$G$2:$G$154,"Hint")+COUNTIFS(Problems!$C$2:$C$154,C24,Problems!$G$2:$G$154,"Solution")</f>
        <v/>
      </c>
      <c r="I24" s="14">
        <f>COUNTIFS(Problems!$C$2:$C$154,C24,Problems!$G$2:$G$154,"Solo")</f>
        <v/>
      </c>
      <c r="J24" s="14">
        <f>COUNTIFS(Problems!$C$2:$C$154,C24,Problems!$K$2:$K$154,"Mastered")+COUNTIFS(Problems!$C$2:$C$154,C24,Problems!$K$2:$K$154,"Solved")</f>
        <v/>
      </c>
      <c r="K24" s="15">
        <f>IF(G24=0,"",J24/G24)</f>
        <v/>
      </c>
    </row>
    <row r="25">
      <c r="A25" s="12" t="n">
        <v>24</v>
      </c>
      <c r="B25" s="12" t="inlineStr">
        <is>
          <t>4 · Interview mode</t>
        </is>
      </c>
      <c r="C25" s="12" t="inlineStr">
        <is>
          <t>Mixed timed sets</t>
        </is>
      </c>
      <c r="D25" s="12" t="inlineStr">
        <is>
          <t>Random problems, timed, out loud — log in Mock Interviews</t>
        </is>
      </c>
      <c r="E25" s="13" t="n"/>
      <c r="F25" s="13" t="n"/>
      <c r="G25" s="14">
        <f>COUNTIF(Problems!$C$2:$C$154,C25)</f>
        <v/>
      </c>
      <c r="H25" s="14">
        <f>COUNTIFS(Problems!$C$2:$C$154,C25,Problems!$G$2:$G$154,"Solo")+COUNTIFS(Problems!$C$2:$C$154,C25,Problems!$G$2:$G$154,"Hint")+COUNTIFS(Problems!$C$2:$C$154,C25,Problems!$G$2:$G$154,"Solution")</f>
        <v/>
      </c>
      <c r="I25" s="14">
        <f>COUNTIFS(Problems!$C$2:$C$154,C25,Problems!$G$2:$G$154,"Solo")</f>
        <v/>
      </c>
      <c r="J25" s="14">
        <f>COUNTIFS(Problems!$C$2:$C$154,C25,Problems!$K$2:$K$154,"Mastered")+COUNTIFS(Problems!$C$2:$C$154,C25,Problems!$K$2:$K$154,"Solved")</f>
        <v/>
      </c>
      <c r="K25" s="15">
        <f>IF(G25=0,"",J25/G25)</f>
        <v/>
      </c>
    </row>
    <row r="26">
      <c r="A26" s="12" t="n">
        <v>25</v>
      </c>
      <c r="B26" s="12" t="inlineStr">
        <is>
          <t>4 · Interview mode</t>
        </is>
      </c>
      <c r="C26" s="12" t="inlineStr">
        <is>
          <t>Mock interviews</t>
        </is>
      </c>
      <c r="D26" s="12" t="inlineStr">
        <is>
          <t>At least 6–10 with a person</t>
        </is>
      </c>
      <c r="E26" s="13" t="n"/>
      <c r="F26" s="13" t="n"/>
      <c r="G26" s="14">
        <f>COUNTIF(Problems!$C$2:$C$154,C26)</f>
        <v/>
      </c>
      <c r="H26" s="14">
        <f>COUNTIFS(Problems!$C$2:$C$154,C26,Problems!$G$2:$G$154,"Solo")+COUNTIFS(Problems!$C$2:$C$154,C26,Problems!$G$2:$G$154,"Hint")+COUNTIFS(Problems!$C$2:$C$154,C26,Problems!$G$2:$G$154,"Solution")</f>
        <v/>
      </c>
      <c r="I26" s="14">
        <f>COUNTIFS(Problems!$C$2:$C$154,C26,Problems!$G$2:$G$154,"Solo")</f>
        <v/>
      </c>
      <c r="J26" s="14">
        <f>COUNTIFS(Problems!$C$2:$C$154,C26,Problems!$K$2:$K$154,"Mastered")+COUNTIFS(Problems!$C$2:$C$154,C26,Problems!$K$2:$K$154,"Solved")</f>
        <v/>
      </c>
      <c r="K26" s="15">
        <f>IF(G26=0,"",J26/G26)</f>
        <v/>
      </c>
    </row>
    <row r="27">
      <c r="A27" s="12" t="n">
        <v>26</v>
      </c>
      <c r="B27" s="12" t="inlineStr">
        <is>
          <t>4 · Interview mode</t>
        </is>
      </c>
      <c r="C27" s="12" t="inlineStr">
        <is>
          <t>Weak-pattern review</t>
        </is>
      </c>
      <c r="D27" s="12" t="inlineStr">
        <is>
          <t>Re-do topics with lowest Progress</t>
        </is>
      </c>
      <c r="E27" s="13" t="n"/>
      <c r="F27" s="13" t="n"/>
      <c r="G27" s="14">
        <f>COUNTIF(Problems!$C$2:$C$154,C27)</f>
        <v/>
      </c>
      <c r="H27" s="14">
        <f>COUNTIFS(Problems!$C$2:$C$154,C27,Problems!$G$2:$G$154,"Solo")+COUNTIFS(Problems!$C$2:$C$154,C27,Problems!$G$2:$G$154,"Hint")+COUNTIFS(Problems!$C$2:$C$154,C27,Problems!$G$2:$G$154,"Solution")</f>
        <v/>
      </c>
      <c r="I27" s="14">
        <f>COUNTIFS(Problems!$C$2:$C$154,C27,Problems!$G$2:$G$154,"Solo")</f>
        <v/>
      </c>
      <c r="J27" s="14">
        <f>COUNTIFS(Problems!$C$2:$C$154,C27,Problems!$K$2:$K$154,"Mastered")+COUNTIFS(Problems!$C$2:$C$154,C27,Problems!$K$2:$K$154,"Solved")</f>
        <v/>
      </c>
      <c r="K27" s="15">
        <f>IF(G27=0,"",J27/G27)</f>
        <v/>
      </c>
    </row>
    <row r="29">
      <c r="A29" s="16" t="inlineStr">
        <is>
          <t>Mastered counts problems solved Solo, or finished through Review 3. Phase 0 and 4 rows have no problems; use Template/Note done to tick them off.</t>
        </is>
      </c>
    </row>
  </sheetData>
  <conditionalFormatting sqref="K2:K27">
    <cfRule type="dataBar" priority="1">
      <dataBar>
        <cfvo type="num" val="0"/>
        <cfvo type="num" val="1"/>
        <color rgb="005B9BD5"/>
      </dataBar>
    </cfRule>
  </conditionalFormatting>
  <dataValidations count="1">
    <dataValidation sqref="E2:F27" showDropDown="0" showInputMessage="0" showErrorMessage="1" allowBlank="1" type="list" errorTitle="Y or empty" error="Enter Y, or leave it empty.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48" customWidth="1" min="4" max="4"/>
    <col width="10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4" customWidth="1" min="11" max="11"/>
    <col width="12" customWidth="1" min="12" max="12"/>
    <col width="12" customWidth="1" min="13" max="13"/>
    <col width="45" customWidth="1" min="14" max="14"/>
    <col width="40" customWidth="1" min="15" max="15"/>
  </cols>
  <sheetData>
    <row r="1">
      <c r="A1" s="11" t="inlineStr">
        <is>
          <t>#</t>
        </is>
      </c>
      <c r="B1" s="11" t="inlineStr">
        <is>
          <t>Phase</t>
        </is>
      </c>
      <c r="C1" s="11" t="inlineStr">
        <is>
          <t>Topic</t>
        </is>
      </c>
      <c r="D1" s="11" t="inlineStr">
        <is>
          <t>Problem</t>
        </is>
      </c>
      <c r="E1" s="11" t="inlineStr">
        <is>
          <t>Difficulty</t>
        </is>
      </c>
      <c r="F1" s="11" t="inlineStr">
        <is>
          <t>Source</t>
        </is>
      </c>
      <c r="G1" s="11" t="inlineStr">
        <is>
          <t>Result</t>
        </is>
      </c>
      <c r="H1" s="11" t="inlineStr">
        <is>
          <t>Review 1</t>
        </is>
      </c>
      <c r="I1" s="11" t="inlineStr">
        <is>
          <t>Review 2</t>
        </is>
      </c>
      <c r="J1" s="11" t="inlineStr">
        <is>
          <t>Review 3</t>
        </is>
      </c>
      <c r="K1" s="11" t="inlineStr">
        <is>
          <t>Status</t>
        </is>
      </c>
      <c r="L1" s="11" t="inlineStr">
        <is>
          <t>Date solved</t>
        </is>
      </c>
      <c r="M1" s="11" t="inlineStr">
        <is>
          <t>Next review</t>
        </is>
      </c>
      <c r="N1" s="11" t="inlineStr">
        <is>
          <t>Key insight</t>
        </is>
      </c>
      <c r="O1" s="11" t="inlineStr">
        <is>
          <t>Mistakes / notes</t>
        </is>
      </c>
    </row>
    <row r="2">
      <c r="A2" s="17" t="n">
        <v>1</v>
      </c>
      <c r="B2" s="17" t="inlineStr">
        <is>
          <t>1 · Core patterns</t>
        </is>
      </c>
      <c r="C2" s="17" t="inlineStr">
        <is>
          <t>Arrays &amp; Hashing</t>
        </is>
      </c>
      <c r="D2" s="17" t="inlineStr">
        <is>
          <t>Contains Duplicate</t>
        </is>
      </c>
      <c r="E2" s="17" t="inlineStr">
        <is>
          <t>Easy</t>
        </is>
      </c>
      <c r="F2" s="17" t="inlineStr">
        <is>
          <t>NeetCode 150</t>
        </is>
      </c>
      <c r="G2" s="18" t="inlineStr">
        <is>
          <t>Solo</t>
        </is>
      </c>
      <c r="H2" s="21" t="n"/>
      <c r="I2" s="21" t="n"/>
      <c r="J2" s="21" t="n"/>
      <c r="K2" s="17">
        <f>IF(G2="","Not started",IF(J2&lt;&gt;"","Mastered",IF(G2="Solo","Solved","Review "&amp;IF(I2&lt;&gt;"",3,IF(H2&lt;&gt;"",2,1))&amp;IF(AND(ISNUMBER(M2),M2&gt;TODAY())," scheduled"," due"))))</f>
        <v/>
      </c>
      <c r="L2" s="21">
        <v>46302</v>
      </c>
      <c r="M2" s="22">
        <f>IF(OR(G2="",G2="Solo",J2&lt;&gt;"",NOT(ISNUMBER(L2))),"",MAX(L2,H2,I2)+IF(I2&lt;&gt;"",21,IF(H2&lt;&gt;"",7,3)))</f>
        <v/>
      </c>
      <c r="N2" s="19" t="inlineStr">
        <is>
          <t>Set of seen values; return true on first repeat. O(n) time, O(n) space.</t>
        </is>
      </c>
      <c r="O2" s="19" t="inlineStr">
        <is>
          <t>Example row — overwrite.</t>
        </is>
      </c>
    </row>
    <row r="3">
      <c r="A3" s="17" t="n">
        <v>2</v>
      </c>
      <c r="B3" s="17" t="inlineStr">
        <is>
          <t>1 · Core patterns</t>
        </is>
      </c>
      <c r="C3" s="17" t="inlineStr">
        <is>
          <t>Arrays &amp; Hashing</t>
        </is>
      </c>
      <c r="D3" s="17" t="inlineStr">
        <is>
          <t>Valid Anagram</t>
        </is>
      </c>
      <c r="E3" s="17" t="inlineStr">
        <is>
          <t>Easy</t>
        </is>
      </c>
      <c r="F3" s="17" t="inlineStr">
        <is>
          <t>NeetCode 150</t>
        </is>
      </c>
      <c r="G3" s="18" t="n"/>
      <c r="H3" s="21" t="n"/>
      <c r="I3" s="21" t="n"/>
      <c r="J3" s="21" t="n"/>
      <c r="K3" s="17">
        <f>IF(G3="","Not started",IF(J3&lt;&gt;"","Mastered",IF(G3="Solo","Solved","Review "&amp;IF(I3&lt;&gt;"",3,IF(H3&lt;&gt;"",2,1))&amp;IF(AND(ISNUMBER(M3),M3&gt;TODAY())," scheduled"," due"))))</f>
        <v/>
      </c>
      <c r="L3" s="21"/>
      <c r="M3" s="22">
        <f>IF(OR(G3="",G3="Solo",J3&lt;&gt;"",NOT(ISNUMBER(L3))),"",MAX(L3,H3,I3)+IF(I3&lt;&gt;"",21,IF(H3&lt;&gt;"",7,3)))</f>
        <v/>
      </c>
      <c r="N3" s="19" t="n"/>
      <c r="O3" s="19" t="n"/>
    </row>
    <row r="4">
      <c r="A4" s="17" t="n">
        <v>3</v>
      </c>
      <c r="B4" s="17" t="inlineStr">
        <is>
          <t>1 · Core patterns</t>
        </is>
      </c>
      <c r="C4" s="17" t="inlineStr">
        <is>
          <t>Arrays &amp; Hashing</t>
        </is>
      </c>
      <c r="D4" s="17" t="inlineStr">
        <is>
          <t>Two Sum</t>
        </is>
      </c>
      <c r="E4" s="17" t="inlineStr">
        <is>
          <t>Easy</t>
        </is>
      </c>
      <c r="F4" s="17" t="inlineStr">
        <is>
          <t>NeetCode 150</t>
        </is>
      </c>
      <c r="G4" s="18" t="n"/>
      <c r="H4" s="21" t="n"/>
      <c r="I4" s="21" t="n"/>
      <c r="J4" s="21" t="n"/>
      <c r="K4" s="17">
        <f>IF(G4="","Not started",IF(J4&lt;&gt;"","Mastered",IF(G4="Solo","Solved","Review "&amp;IF(I4&lt;&gt;"",3,IF(H4&lt;&gt;"",2,1))&amp;IF(AND(ISNUMBER(M4),M4&gt;TODAY())," scheduled"," due"))))</f>
        <v/>
      </c>
      <c r="L4" s="21"/>
      <c r="M4" s="22">
        <f>IF(OR(G4="",G4="Solo",J4&lt;&gt;"",NOT(ISNUMBER(L4))),"",MAX(L4,H4,I4)+IF(I4&lt;&gt;"",21,IF(H4&lt;&gt;"",7,3)))</f>
        <v/>
      </c>
      <c r="N4" s="19" t="n"/>
      <c r="O4" s="19" t="n"/>
    </row>
    <row r="5">
      <c r="A5" s="17" t="n">
        <v>4</v>
      </c>
      <c r="B5" s="17" t="inlineStr">
        <is>
          <t>1 · Core patterns</t>
        </is>
      </c>
      <c r="C5" s="17" t="inlineStr">
        <is>
          <t>Arrays &amp; Hashing</t>
        </is>
      </c>
      <c r="D5" s="17" t="inlineStr">
        <is>
          <t>Group Anagrams</t>
        </is>
      </c>
      <c r="E5" s="17" t="inlineStr">
        <is>
          <t>Medium</t>
        </is>
      </c>
      <c r="F5" s="17" t="inlineStr">
        <is>
          <t>NeetCode 150</t>
        </is>
      </c>
      <c r="G5" s="18" t="n"/>
      <c r="H5" s="21" t="n"/>
      <c r="I5" s="21" t="n"/>
      <c r="J5" s="21" t="n"/>
      <c r="K5" s="17">
        <f>IF(G5="","Not started",IF(J5&lt;&gt;"","Mastered",IF(G5="Solo","Solved","Review "&amp;IF(I5&lt;&gt;"",3,IF(H5&lt;&gt;"",2,1))&amp;IF(AND(ISNUMBER(M5),M5&gt;TODAY())," scheduled"," due"))))</f>
        <v/>
      </c>
      <c r="L5" s="21"/>
      <c r="M5" s="22">
        <f>IF(OR(G5="",G5="Solo",J5&lt;&gt;"",NOT(ISNUMBER(L5))),"",MAX(L5,H5,I5)+IF(I5&lt;&gt;"",21,IF(H5&lt;&gt;"",7,3)))</f>
        <v/>
      </c>
      <c r="N5" s="19" t="n"/>
      <c r="O5" s="19" t="n"/>
    </row>
    <row r="6">
      <c r="A6" s="17" t="n">
        <v>5</v>
      </c>
      <c r="B6" s="17" t="inlineStr">
        <is>
          <t>1 · Core patterns</t>
        </is>
      </c>
      <c r="C6" s="17" t="inlineStr">
        <is>
          <t>Arrays &amp; Hashing</t>
        </is>
      </c>
      <c r="D6" s="17" t="inlineStr">
        <is>
          <t>Top K Frequent Elements</t>
        </is>
      </c>
      <c r="E6" s="17" t="inlineStr">
        <is>
          <t>Medium</t>
        </is>
      </c>
      <c r="F6" s="17" t="inlineStr">
        <is>
          <t>NeetCode 150</t>
        </is>
      </c>
      <c r="G6" s="18" t="n"/>
      <c r="H6" s="21" t="n"/>
      <c r="I6" s="21" t="n"/>
      <c r="J6" s="21" t="n"/>
      <c r="K6" s="17">
        <f>IF(G6="","Not started",IF(J6&lt;&gt;"","Mastered",IF(G6="Solo","Solved","Review "&amp;IF(I6&lt;&gt;"",3,IF(H6&lt;&gt;"",2,1))&amp;IF(AND(ISNUMBER(M6),M6&gt;TODAY())," scheduled"," due"))))</f>
        <v/>
      </c>
      <c r="L6" s="21"/>
      <c r="M6" s="22">
        <f>IF(OR(G6="",G6="Solo",J6&lt;&gt;"",NOT(ISNUMBER(L6))),"",MAX(L6,H6,I6)+IF(I6&lt;&gt;"",21,IF(H6&lt;&gt;"",7,3)))</f>
        <v/>
      </c>
      <c r="N6" s="19" t="n"/>
      <c r="O6" s="19" t="n"/>
    </row>
    <row r="7">
      <c r="A7" s="17" t="n">
        <v>6</v>
      </c>
      <c r="B7" s="17" t="inlineStr">
        <is>
          <t>1 · Core patterns</t>
        </is>
      </c>
      <c r="C7" s="17" t="inlineStr">
        <is>
          <t>Arrays &amp; Hashing</t>
        </is>
      </c>
      <c r="D7" s="17" t="inlineStr">
        <is>
          <t>Encode and Decode Strings</t>
        </is>
      </c>
      <c r="E7" s="17" t="inlineStr">
        <is>
          <t>Medium</t>
        </is>
      </c>
      <c r="F7" s="17" t="inlineStr">
        <is>
          <t>NeetCode 150</t>
        </is>
      </c>
      <c r="G7" s="18" t="n"/>
      <c r="H7" s="21" t="n"/>
      <c r="I7" s="21" t="n"/>
      <c r="J7" s="21" t="n"/>
      <c r="K7" s="17">
        <f>IF(G7="","Not started",IF(J7&lt;&gt;"","Mastered",IF(G7="Solo","Solved","Review "&amp;IF(I7&lt;&gt;"",3,IF(H7&lt;&gt;"",2,1))&amp;IF(AND(ISNUMBER(M7),M7&gt;TODAY())," scheduled"," due"))))</f>
        <v/>
      </c>
      <c r="L7" s="21"/>
      <c r="M7" s="22">
        <f>IF(OR(G7="",G7="Solo",J7&lt;&gt;"",NOT(ISNUMBER(L7))),"",MAX(L7,H7,I7)+IF(I7&lt;&gt;"",21,IF(H7&lt;&gt;"",7,3)))</f>
        <v/>
      </c>
      <c r="N7" s="19" t="n"/>
      <c r="O7" s="19" t="n"/>
    </row>
    <row r="8">
      <c r="A8" s="17" t="n">
        <v>7</v>
      </c>
      <c r="B8" s="17" t="inlineStr">
        <is>
          <t>1 · Core patterns</t>
        </is>
      </c>
      <c r="C8" s="17" t="inlineStr">
        <is>
          <t>Arrays &amp; Hashing</t>
        </is>
      </c>
      <c r="D8" s="17" t="inlineStr">
        <is>
          <t>Product of Array Except Self</t>
        </is>
      </c>
      <c r="E8" s="17" t="inlineStr">
        <is>
          <t>Medium</t>
        </is>
      </c>
      <c r="F8" s="17" t="inlineStr">
        <is>
          <t>NeetCode 150</t>
        </is>
      </c>
      <c r="G8" s="18" t="n"/>
      <c r="H8" s="21" t="n"/>
      <c r="I8" s="21" t="n"/>
      <c r="J8" s="21" t="n"/>
      <c r="K8" s="17">
        <f>IF(G8="","Not started",IF(J8&lt;&gt;"","Mastered",IF(G8="Solo","Solved","Review "&amp;IF(I8&lt;&gt;"",3,IF(H8&lt;&gt;"",2,1))&amp;IF(AND(ISNUMBER(M8),M8&gt;TODAY())," scheduled"," due"))))</f>
        <v/>
      </c>
      <c r="L8" s="21"/>
      <c r="M8" s="22">
        <f>IF(OR(G8="",G8="Solo",J8&lt;&gt;"",NOT(ISNUMBER(L8))),"",MAX(L8,H8,I8)+IF(I8&lt;&gt;"",21,IF(H8&lt;&gt;"",7,3)))</f>
        <v/>
      </c>
      <c r="N8" s="19" t="n"/>
      <c r="O8" s="19" t="n"/>
    </row>
    <row r="9">
      <c r="A9" s="17" t="n">
        <v>8</v>
      </c>
      <c r="B9" s="17" t="inlineStr">
        <is>
          <t>1 · Core patterns</t>
        </is>
      </c>
      <c r="C9" s="17" t="inlineStr">
        <is>
          <t>Arrays &amp; Hashing</t>
        </is>
      </c>
      <c r="D9" s="17" t="inlineStr">
        <is>
          <t>Valid Sudoku</t>
        </is>
      </c>
      <c r="E9" s="17" t="inlineStr">
        <is>
          <t>Medium</t>
        </is>
      </c>
      <c r="F9" s="17" t="inlineStr">
        <is>
          <t>NeetCode 150</t>
        </is>
      </c>
      <c r="G9" s="18" t="n"/>
      <c r="H9" s="21" t="n"/>
      <c r="I9" s="21" t="n"/>
      <c r="J9" s="21" t="n"/>
      <c r="K9" s="17">
        <f>IF(G9="","Not started",IF(J9&lt;&gt;"","Mastered",IF(G9="Solo","Solved","Review "&amp;IF(I9&lt;&gt;"",3,IF(H9&lt;&gt;"",2,1))&amp;IF(AND(ISNUMBER(M9),M9&gt;TODAY())," scheduled"," due"))))</f>
        <v/>
      </c>
      <c r="L9" s="21"/>
      <c r="M9" s="22">
        <f>IF(OR(G9="",G9="Solo",J9&lt;&gt;"",NOT(ISNUMBER(L9))),"",MAX(L9,H9,I9)+IF(I9&lt;&gt;"",21,IF(H9&lt;&gt;"",7,3)))</f>
        <v/>
      </c>
      <c r="N9" s="19" t="n"/>
      <c r="O9" s="19" t="n"/>
    </row>
    <row r="10">
      <c r="A10" s="17" t="n">
        <v>9</v>
      </c>
      <c r="B10" s="17" t="inlineStr">
        <is>
          <t>1 · Core patterns</t>
        </is>
      </c>
      <c r="C10" s="17" t="inlineStr">
        <is>
          <t>Arrays &amp; Hashing</t>
        </is>
      </c>
      <c r="D10" s="17" t="inlineStr">
        <is>
          <t>Longest Consecutive Sequence</t>
        </is>
      </c>
      <c r="E10" s="17" t="inlineStr">
        <is>
          <t>Medium</t>
        </is>
      </c>
      <c r="F10" s="17" t="inlineStr">
        <is>
          <t>NeetCode 150</t>
        </is>
      </c>
      <c r="G10" s="18" t="n"/>
      <c r="H10" s="21" t="n"/>
      <c r="I10" s="21" t="n"/>
      <c r="J10" s="21" t="n"/>
      <c r="K10" s="17">
        <f>IF(G10="","Not started",IF(J10&lt;&gt;"","Mastered",IF(G10="Solo","Solved","Review "&amp;IF(I10&lt;&gt;"",3,IF(H10&lt;&gt;"",2,1))&amp;IF(AND(ISNUMBER(M10),M10&gt;TODAY())," scheduled"," due"))))</f>
        <v/>
      </c>
      <c r="L10" s="21"/>
      <c r="M10" s="22">
        <f>IF(OR(G10="",G10="Solo",J10&lt;&gt;"",NOT(ISNUMBER(L10))),"",MAX(L10,H10,I10)+IF(I10&lt;&gt;"",21,IF(H10&lt;&gt;"",7,3)))</f>
        <v/>
      </c>
      <c r="N10" s="19" t="n"/>
      <c r="O10" s="19" t="n"/>
    </row>
    <row r="11">
      <c r="A11" s="17" t="n">
        <v>10</v>
      </c>
      <c r="B11" s="17" t="inlineStr">
        <is>
          <t>1 · Core patterns</t>
        </is>
      </c>
      <c r="C11" s="17" t="inlineStr">
        <is>
          <t>Two Pointers</t>
        </is>
      </c>
      <c r="D11" s="17" t="inlineStr">
        <is>
          <t>Valid Palindrome</t>
        </is>
      </c>
      <c r="E11" s="17" t="inlineStr">
        <is>
          <t>Easy</t>
        </is>
      </c>
      <c r="F11" s="17" t="inlineStr">
        <is>
          <t>NeetCode 150</t>
        </is>
      </c>
      <c r="G11" s="18" t="n"/>
      <c r="H11" s="21" t="n"/>
      <c r="I11" s="21" t="n"/>
      <c r="J11" s="21" t="n"/>
      <c r="K11" s="17">
        <f>IF(G11="","Not started",IF(J11&lt;&gt;"","Mastered",IF(G11="Solo","Solved","Review "&amp;IF(I11&lt;&gt;"",3,IF(H11&lt;&gt;"",2,1))&amp;IF(AND(ISNUMBER(M11),M11&gt;TODAY())," scheduled"," due"))))</f>
        <v/>
      </c>
      <c r="L11" s="21"/>
      <c r="M11" s="22">
        <f>IF(OR(G11="",G11="Solo",J11&lt;&gt;"",NOT(ISNUMBER(L11))),"",MAX(L11,H11,I11)+IF(I11&lt;&gt;"",21,IF(H11&lt;&gt;"",7,3)))</f>
        <v/>
      </c>
      <c r="N11" s="19" t="n"/>
      <c r="O11" s="19" t="n"/>
    </row>
    <row r="12">
      <c r="A12" s="17" t="n">
        <v>11</v>
      </c>
      <c r="B12" s="17" t="inlineStr">
        <is>
          <t>1 · Core patterns</t>
        </is>
      </c>
      <c r="C12" s="17" t="inlineStr">
        <is>
          <t>Two Pointers</t>
        </is>
      </c>
      <c r="D12" s="17" t="inlineStr">
        <is>
          <t>Two Sum II - Input Array Is Sorted</t>
        </is>
      </c>
      <c r="E12" s="17" t="inlineStr">
        <is>
          <t>Medium</t>
        </is>
      </c>
      <c r="F12" s="17" t="inlineStr">
        <is>
          <t>NeetCode 150</t>
        </is>
      </c>
      <c r="G12" s="18" t="n"/>
      <c r="H12" s="21" t="n"/>
      <c r="I12" s="21" t="n"/>
      <c r="J12" s="21" t="n"/>
      <c r="K12" s="17">
        <f>IF(G12="","Not started",IF(J12&lt;&gt;"","Mastered",IF(G12="Solo","Solved","Review "&amp;IF(I12&lt;&gt;"",3,IF(H12&lt;&gt;"",2,1))&amp;IF(AND(ISNUMBER(M12),M12&gt;TODAY())," scheduled"," due"))))</f>
        <v/>
      </c>
      <c r="L12" s="21"/>
      <c r="M12" s="22">
        <f>IF(OR(G12="",G12="Solo",J12&lt;&gt;"",NOT(ISNUMBER(L12))),"",MAX(L12,H12,I12)+IF(I12&lt;&gt;"",21,IF(H12&lt;&gt;"",7,3)))</f>
        <v/>
      </c>
      <c r="N12" s="19" t="n"/>
      <c r="O12" s="19" t="n"/>
    </row>
    <row r="13">
      <c r="A13" s="17" t="n">
        <v>12</v>
      </c>
      <c r="B13" s="17" t="inlineStr">
        <is>
          <t>1 · Core patterns</t>
        </is>
      </c>
      <c r="C13" s="17" t="inlineStr">
        <is>
          <t>Two Pointers</t>
        </is>
      </c>
      <c r="D13" s="17" t="inlineStr">
        <is>
          <t>3Sum</t>
        </is>
      </c>
      <c r="E13" s="17" t="inlineStr">
        <is>
          <t>Medium</t>
        </is>
      </c>
      <c r="F13" s="17" t="inlineStr">
        <is>
          <t>NeetCode 150</t>
        </is>
      </c>
      <c r="G13" s="18" t="n"/>
      <c r="H13" s="21" t="n"/>
      <c r="I13" s="21" t="n"/>
      <c r="J13" s="21" t="n"/>
      <c r="K13" s="17">
        <f>IF(G13="","Not started",IF(J13&lt;&gt;"","Mastered",IF(G13="Solo","Solved","Review "&amp;IF(I13&lt;&gt;"",3,IF(H13&lt;&gt;"",2,1))&amp;IF(AND(ISNUMBER(M13),M13&gt;TODAY())," scheduled"," due"))))</f>
        <v/>
      </c>
      <c r="L13" s="21"/>
      <c r="M13" s="22">
        <f>IF(OR(G13="",G13="Solo",J13&lt;&gt;"",NOT(ISNUMBER(L13))),"",MAX(L13,H13,I13)+IF(I13&lt;&gt;"",21,IF(H13&lt;&gt;"",7,3)))</f>
        <v/>
      </c>
      <c r="N13" s="19" t="n"/>
      <c r="O13" s="19" t="n"/>
    </row>
    <row r="14">
      <c r="A14" s="17" t="n">
        <v>13</v>
      </c>
      <c r="B14" s="17" t="inlineStr">
        <is>
          <t>1 · Core patterns</t>
        </is>
      </c>
      <c r="C14" s="17" t="inlineStr">
        <is>
          <t>Two Pointers</t>
        </is>
      </c>
      <c r="D14" s="17" t="inlineStr">
        <is>
          <t>Container With Most Water</t>
        </is>
      </c>
      <c r="E14" s="17" t="inlineStr">
        <is>
          <t>Medium</t>
        </is>
      </c>
      <c r="F14" s="17" t="inlineStr">
        <is>
          <t>NeetCode 150</t>
        </is>
      </c>
      <c r="G14" s="18" t="n"/>
      <c r="H14" s="21" t="n"/>
      <c r="I14" s="21" t="n"/>
      <c r="J14" s="21" t="n"/>
      <c r="K14" s="17">
        <f>IF(G14="","Not started",IF(J14&lt;&gt;"","Mastered",IF(G14="Solo","Solved","Review "&amp;IF(I14&lt;&gt;"",3,IF(H14&lt;&gt;"",2,1))&amp;IF(AND(ISNUMBER(M14),M14&gt;TODAY())," scheduled"," due"))))</f>
        <v/>
      </c>
      <c r="L14" s="21"/>
      <c r="M14" s="22">
        <f>IF(OR(G14="",G14="Solo",J14&lt;&gt;"",NOT(ISNUMBER(L14))),"",MAX(L14,H14,I14)+IF(I14&lt;&gt;"",21,IF(H14&lt;&gt;"",7,3)))</f>
        <v/>
      </c>
      <c r="N14" s="19" t="n"/>
      <c r="O14" s="19" t="n"/>
    </row>
    <row r="15">
      <c r="A15" s="17" t="n">
        <v>14</v>
      </c>
      <c r="B15" s="17" t="inlineStr">
        <is>
          <t>1 · Core patterns</t>
        </is>
      </c>
      <c r="C15" s="17" t="inlineStr">
        <is>
          <t>Two Pointers</t>
        </is>
      </c>
      <c r="D15" s="17" t="inlineStr">
        <is>
          <t>Trapping Rain Water</t>
        </is>
      </c>
      <c r="E15" s="17" t="inlineStr">
        <is>
          <t>Hard</t>
        </is>
      </c>
      <c r="F15" s="17" t="inlineStr">
        <is>
          <t>NeetCode 150</t>
        </is>
      </c>
      <c r="G15" s="18" t="n"/>
      <c r="H15" s="21" t="n"/>
      <c r="I15" s="21" t="n"/>
      <c r="J15" s="21" t="n"/>
      <c r="K15" s="17">
        <f>IF(G15="","Not started",IF(J15&lt;&gt;"","Mastered",IF(G15="Solo","Solved","Review "&amp;IF(I15&lt;&gt;"",3,IF(H15&lt;&gt;"",2,1))&amp;IF(AND(ISNUMBER(M15),M15&gt;TODAY())," scheduled"," due"))))</f>
        <v/>
      </c>
      <c r="L15" s="21"/>
      <c r="M15" s="22">
        <f>IF(OR(G15="",G15="Solo",J15&lt;&gt;"",NOT(ISNUMBER(L15))),"",MAX(L15,H15,I15)+IF(I15&lt;&gt;"",21,IF(H15&lt;&gt;"",7,3)))</f>
        <v/>
      </c>
      <c r="N15" s="19" t="n"/>
      <c r="O15" s="19" t="n"/>
    </row>
    <row r="16">
      <c r="A16" s="17" t="n">
        <v>15</v>
      </c>
      <c r="B16" s="17" t="inlineStr">
        <is>
          <t>1 · Core patterns</t>
        </is>
      </c>
      <c r="C16" s="17" t="inlineStr">
        <is>
          <t>Sliding Window</t>
        </is>
      </c>
      <c r="D16" s="17" t="inlineStr">
        <is>
          <t>Best Time to Buy and Sell Stock</t>
        </is>
      </c>
      <c r="E16" s="17" t="inlineStr">
        <is>
          <t>Easy</t>
        </is>
      </c>
      <c r="F16" s="17" t="inlineStr">
        <is>
          <t>NeetCode 150</t>
        </is>
      </c>
      <c r="G16" s="18" t="n"/>
      <c r="H16" s="21" t="n"/>
      <c r="I16" s="21" t="n"/>
      <c r="J16" s="21" t="n"/>
      <c r="K16" s="17">
        <f>IF(G16="","Not started",IF(J16&lt;&gt;"","Mastered",IF(G16="Solo","Solved","Review "&amp;IF(I16&lt;&gt;"",3,IF(H16&lt;&gt;"",2,1))&amp;IF(AND(ISNUMBER(M16),M16&gt;TODAY())," scheduled"," due"))))</f>
        <v/>
      </c>
      <c r="L16" s="21"/>
      <c r="M16" s="22">
        <f>IF(OR(G16="",G16="Solo",J16&lt;&gt;"",NOT(ISNUMBER(L16))),"",MAX(L16,H16,I16)+IF(I16&lt;&gt;"",21,IF(H16&lt;&gt;"",7,3)))</f>
        <v/>
      </c>
      <c r="N16" s="19" t="n"/>
      <c r="O16" s="19" t="n"/>
    </row>
    <row r="17">
      <c r="A17" s="17" t="n">
        <v>16</v>
      </c>
      <c r="B17" s="17" t="inlineStr">
        <is>
          <t>1 · Core patterns</t>
        </is>
      </c>
      <c r="C17" s="17" t="inlineStr">
        <is>
          <t>Sliding Window</t>
        </is>
      </c>
      <c r="D17" s="17" t="inlineStr">
        <is>
          <t>Longest Substring Without Repeating Characters</t>
        </is>
      </c>
      <c r="E17" s="17" t="inlineStr">
        <is>
          <t>Medium</t>
        </is>
      </c>
      <c r="F17" s="17" t="inlineStr">
        <is>
          <t>NeetCode 150</t>
        </is>
      </c>
      <c r="G17" s="18" t="n"/>
      <c r="H17" s="21" t="n"/>
      <c r="I17" s="21" t="n"/>
      <c r="J17" s="21" t="n"/>
      <c r="K17" s="17">
        <f>IF(G17="","Not started",IF(J17&lt;&gt;"","Mastered",IF(G17="Solo","Solved","Review "&amp;IF(I17&lt;&gt;"",3,IF(H17&lt;&gt;"",2,1))&amp;IF(AND(ISNUMBER(M17),M17&gt;TODAY())," scheduled"," due"))))</f>
        <v/>
      </c>
      <c r="L17" s="21"/>
      <c r="M17" s="22">
        <f>IF(OR(G17="",G17="Solo",J17&lt;&gt;"",NOT(ISNUMBER(L17))),"",MAX(L17,H17,I17)+IF(I17&lt;&gt;"",21,IF(H17&lt;&gt;"",7,3)))</f>
        <v/>
      </c>
      <c r="N17" s="19" t="n"/>
      <c r="O17" s="19" t="n"/>
    </row>
    <row r="18">
      <c r="A18" s="17" t="n">
        <v>17</v>
      </c>
      <c r="B18" s="17" t="inlineStr">
        <is>
          <t>1 · Core patterns</t>
        </is>
      </c>
      <c r="C18" s="17" t="inlineStr">
        <is>
          <t>Sliding Window</t>
        </is>
      </c>
      <c r="D18" s="17" t="inlineStr">
        <is>
          <t>Longest Repeating Character Replacement</t>
        </is>
      </c>
      <c r="E18" s="17" t="inlineStr">
        <is>
          <t>Medium</t>
        </is>
      </c>
      <c r="F18" s="17" t="inlineStr">
        <is>
          <t>NeetCode 150</t>
        </is>
      </c>
      <c r="G18" s="18" t="n"/>
      <c r="H18" s="21" t="n"/>
      <c r="I18" s="21" t="n"/>
      <c r="J18" s="21" t="n"/>
      <c r="K18" s="17">
        <f>IF(G18="","Not started",IF(J18&lt;&gt;"","Mastered",IF(G18="Solo","Solved","Review "&amp;IF(I18&lt;&gt;"",3,IF(H18&lt;&gt;"",2,1))&amp;IF(AND(ISNUMBER(M18),M18&gt;TODAY())," scheduled"," due"))))</f>
        <v/>
      </c>
      <c r="L18" s="21"/>
      <c r="M18" s="22">
        <f>IF(OR(G18="",G18="Solo",J18&lt;&gt;"",NOT(ISNUMBER(L18))),"",MAX(L18,H18,I18)+IF(I18&lt;&gt;"",21,IF(H18&lt;&gt;"",7,3)))</f>
        <v/>
      </c>
      <c r="N18" s="19" t="n"/>
      <c r="O18" s="19" t="n"/>
    </row>
    <row r="19">
      <c r="A19" s="17" t="n">
        <v>18</v>
      </c>
      <c r="B19" s="17" t="inlineStr">
        <is>
          <t>1 · Core patterns</t>
        </is>
      </c>
      <c r="C19" s="17" t="inlineStr">
        <is>
          <t>Sliding Window</t>
        </is>
      </c>
      <c r="D19" s="17" t="inlineStr">
        <is>
          <t>Permutation in String</t>
        </is>
      </c>
      <c r="E19" s="17" t="inlineStr">
        <is>
          <t>Medium</t>
        </is>
      </c>
      <c r="F19" s="17" t="inlineStr">
        <is>
          <t>NeetCode 150</t>
        </is>
      </c>
      <c r="G19" s="18" t="n"/>
      <c r="H19" s="21" t="n"/>
      <c r="I19" s="21" t="n"/>
      <c r="J19" s="21" t="n"/>
      <c r="K19" s="17">
        <f>IF(G19="","Not started",IF(J19&lt;&gt;"","Mastered",IF(G19="Solo","Solved","Review "&amp;IF(I19&lt;&gt;"",3,IF(H19&lt;&gt;"",2,1))&amp;IF(AND(ISNUMBER(M19),M19&gt;TODAY())," scheduled"," due"))))</f>
        <v/>
      </c>
      <c r="L19" s="21"/>
      <c r="M19" s="22">
        <f>IF(OR(G19="",G19="Solo",J19&lt;&gt;"",NOT(ISNUMBER(L19))),"",MAX(L19,H19,I19)+IF(I19&lt;&gt;"",21,IF(H19&lt;&gt;"",7,3)))</f>
        <v/>
      </c>
      <c r="N19" s="19" t="n"/>
      <c r="O19" s="19" t="n"/>
    </row>
    <row r="20">
      <c r="A20" s="17" t="n">
        <v>19</v>
      </c>
      <c r="B20" s="17" t="inlineStr">
        <is>
          <t>1 · Core patterns</t>
        </is>
      </c>
      <c r="C20" s="17" t="inlineStr">
        <is>
          <t>Sliding Window</t>
        </is>
      </c>
      <c r="D20" s="17" t="inlineStr">
        <is>
          <t>Minimum Window Substring</t>
        </is>
      </c>
      <c r="E20" s="17" t="inlineStr">
        <is>
          <t>Hard</t>
        </is>
      </c>
      <c r="F20" s="17" t="inlineStr">
        <is>
          <t>NeetCode 150</t>
        </is>
      </c>
      <c r="G20" s="18" t="n"/>
      <c r="H20" s="21" t="n"/>
      <c r="I20" s="21" t="n"/>
      <c r="J20" s="21" t="n"/>
      <c r="K20" s="17">
        <f>IF(G20="","Not started",IF(J20&lt;&gt;"","Mastered",IF(G20="Solo","Solved","Review "&amp;IF(I20&lt;&gt;"",3,IF(H20&lt;&gt;"",2,1))&amp;IF(AND(ISNUMBER(M20),M20&gt;TODAY())," scheduled"," due"))))</f>
        <v/>
      </c>
      <c r="L20" s="21"/>
      <c r="M20" s="22">
        <f>IF(OR(G20="",G20="Solo",J20&lt;&gt;"",NOT(ISNUMBER(L20))),"",MAX(L20,H20,I20)+IF(I20&lt;&gt;"",21,IF(H20&lt;&gt;"",7,3)))</f>
        <v/>
      </c>
      <c r="N20" s="19" t="n"/>
      <c r="O20" s="19" t="n"/>
    </row>
    <row r="21">
      <c r="A21" s="17" t="n">
        <v>20</v>
      </c>
      <c r="B21" s="17" t="inlineStr">
        <is>
          <t>1 · Core patterns</t>
        </is>
      </c>
      <c r="C21" s="17" t="inlineStr">
        <is>
          <t>Sliding Window</t>
        </is>
      </c>
      <c r="D21" s="17" t="inlineStr">
        <is>
          <t>Sliding Window Maximum</t>
        </is>
      </c>
      <c r="E21" s="17" t="inlineStr">
        <is>
          <t>Hard</t>
        </is>
      </c>
      <c r="F21" s="17" t="inlineStr">
        <is>
          <t>NeetCode 150</t>
        </is>
      </c>
      <c r="G21" s="18" t="n"/>
      <c r="H21" s="21" t="n"/>
      <c r="I21" s="21" t="n"/>
      <c r="J21" s="21" t="n"/>
      <c r="K21" s="17">
        <f>IF(G21="","Not started",IF(J21&lt;&gt;"","Mastered",IF(G21="Solo","Solved","Review "&amp;IF(I21&lt;&gt;"",3,IF(H21&lt;&gt;"",2,1))&amp;IF(AND(ISNUMBER(M21),M21&gt;TODAY())," scheduled"," due"))))</f>
        <v/>
      </c>
      <c r="L21" s="21"/>
      <c r="M21" s="22">
        <f>IF(OR(G21="",G21="Solo",J21&lt;&gt;"",NOT(ISNUMBER(L21))),"",MAX(L21,H21,I21)+IF(I21&lt;&gt;"",21,IF(H21&lt;&gt;"",7,3)))</f>
        <v/>
      </c>
      <c r="N21" s="19" t="n"/>
      <c r="O21" s="19" t="n"/>
    </row>
    <row r="22">
      <c r="A22" s="17" t="n">
        <v>21</v>
      </c>
      <c r="B22" s="17" t="inlineStr">
        <is>
          <t>1 · Core patterns</t>
        </is>
      </c>
      <c r="C22" s="17" t="inlineStr">
        <is>
          <t>Prefix Sums</t>
        </is>
      </c>
      <c r="D22" s="17" t="inlineStr">
        <is>
          <t>Range Sum Query - Immutable</t>
        </is>
      </c>
      <c r="E22" s="17" t="inlineStr">
        <is>
          <t>Easy</t>
        </is>
      </c>
      <c r="F22" s="17" t="inlineStr">
        <is>
          <t>Extra</t>
        </is>
      </c>
      <c r="G22" s="18" t="n"/>
      <c r="H22" s="21" t="n"/>
      <c r="I22" s="21" t="n"/>
      <c r="J22" s="21" t="n"/>
      <c r="K22" s="17">
        <f>IF(G22="","Not started",IF(J22&lt;&gt;"","Mastered",IF(G22="Solo","Solved","Review "&amp;IF(I22&lt;&gt;"",3,IF(H22&lt;&gt;"",2,1))&amp;IF(AND(ISNUMBER(M22),M22&gt;TODAY())," scheduled"," due"))))</f>
        <v/>
      </c>
      <c r="L22" s="21"/>
      <c r="M22" s="22">
        <f>IF(OR(G22="",G22="Solo",J22&lt;&gt;"",NOT(ISNUMBER(L22))),"",MAX(L22,H22,I22)+IF(I22&lt;&gt;"",21,IF(H22&lt;&gt;"",7,3)))</f>
        <v/>
      </c>
      <c r="N22" s="19" t="n"/>
      <c r="O22" s="19" t="n"/>
    </row>
    <row r="23">
      <c r="A23" s="17" t="n">
        <v>22</v>
      </c>
      <c r="B23" s="17" t="inlineStr">
        <is>
          <t>1 · Core patterns</t>
        </is>
      </c>
      <c r="C23" s="17" t="inlineStr">
        <is>
          <t>Prefix Sums</t>
        </is>
      </c>
      <c r="D23" s="17" t="inlineStr">
        <is>
          <t>Subarray Sum Equals K</t>
        </is>
      </c>
      <c r="E23" s="17" t="inlineStr">
        <is>
          <t>Medium</t>
        </is>
      </c>
      <c r="F23" s="17" t="inlineStr">
        <is>
          <t>Extra</t>
        </is>
      </c>
      <c r="G23" s="18" t="n"/>
      <c r="H23" s="21" t="n"/>
      <c r="I23" s="21" t="n"/>
      <c r="J23" s="21" t="n"/>
      <c r="K23" s="17">
        <f>IF(G23="","Not started",IF(J23&lt;&gt;"","Mastered",IF(G23="Solo","Solved","Review "&amp;IF(I23&lt;&gt;"",3,IF(H23&lt;&gt;"",2,1))&amp;IF(AND(ISNUMBER(M23),M23&gt;TODAY())," scheduled"," due"))))</f>
        <v/>
      </c>
      <c r="L23" s="21"/>
      <c r="M23" s="22">
        <f>IF(OR(G23="",G23="Solo",J23&lt;&gt;"",NOT(ISNUMBER(L23))),"",MAX(L23,H23,I23)+IF(I23&lt;&gt;"",21,IF(H23&lt;&gt;"",7,3)))</f>
        <v/>
      </c>
      <c r="N23" s="19" t="n"/>
      <c r="O23" s="19" t="n"/>
    </row>
    <row r="24">
      <c r="A24" s="17" t="n">
        <v>23</v>
      </c>
      <c r="B24" s="17" t="inlineStr">
        <is>
          <t>1 · Core patterns</t>
        </is>
      </c>
      <c r="C24" s="17" t="inlineStr">
        <is>
          <t>Prefix Sums</t>
        </is>
      </c>
      <c r="D24" s="17" t="inlineStr">
        <is>
          <t>Contiguous Array</t>
        </is>
      </c>
      <c r="E24" s="17" t="inlineStr">
        <is>
          <t>Medium</t>
        </is>
      </c>
      <c r="F24" s="17" t="inlineStr">
        <is>
          <t>Extra</t>
        </is>
      </c>
      <c r="G24" s="18" t="n"/>
      <c r="H24" s="21" t="n"/>
      <c r="I24" s="21" t="n"/>
      <c r="J24" s="21" t="n"/>
      <c r="K24" s="17">
        <f>IF(G24="","Not started",IF(J24&lt;&gt;"","Mastered",IF(G24="Solo","Solved","Review "&amp;IF(I24&lt;&gt;"",3,IF(H24&lt;&gt;"",2,1))&amp;IF(AND(ISNUMBER(M24),M24&gt;TODAY())," scheduled"," due"))))</f>
        <v/>
      </c>
      <c r="L24" s="21"/>
      <c r="M24" s="22">
        <f>IF(OR(G24="",G24="Solo",J24&lt;&gt;"",NOT(ISNUMBER(L24))),"",MAX(L24,H24,I24)+IF(I24&lt;&gt;"",21,IF(H24&lt;&gt;"",7,3)))</f>
        <v/>
      </c>
      <c r="N24" s="19" t="n"/>
      <c r="O24" s="19" t="n"/>
    </row>
    <row r="25">
      <c r="A25" s="17" t="n">
        <v>24</v>
      </c>
      <c r="B25" s="17" t="inlineStr">
        <is>
          <t>1 · Core patterns</t>
        </is>
      </c>
      <c r="C25" s="17" t="inlineStr">
        <is>
          <t>Stack</t>
        </is>
      </c>
      <c r="D25" s="17" t="inlineStr">
        <is>
          <t>Valid Parentheses</t>
        </is>
      </c>
      <c r="E25" s="17" t="inlineStr">
        <is>
          <t>Easy</t>
        </is>
      </c>
      <c r="F25" s="17" t="inlineStr">
        <is>
          <t>NeetCode 150</t>
        </is>
      </c>
      <c r="G25" s="18" t="n"/>
      <c r="H25" s="21" t="n"/>
      <c r="I25" s="21" t="n"/>
      <c r="J25" s="21" t="n"/>
      <c r="K25" s="17">
        <f>IF(G25="","Not started",IF(J25&lt;&gt;"","Mastered",IF(G25="Solo","Solved","Review "&amp;IF(I25&lt;&gt;"",3,IF(H25&lt;&gt;"",2,1))&amp;IF(AND(ISNUMBER(M25),M25&gt;TODAY())," scheduled"," due"))))</f>
        <v/>
      </c>
      <c r="L25" s="21"/>
      <c r="M25" s="22">
        <f>IF(OR(G25="",G25="Solo",J25&lt;&gt;"",NOT(ISNUMBER(L25))),"",MAX(L25,H25,I25)+IF(I25&lt;&gt;"",21,IF(H25&lt;&gt;"",7,3)))</f>
        <v/>
      </c>
      <c r="N25" s="19" t="n"/>
      <c r="O25" s="19" t="n"/>
    </row>
    <row r="26">
      <c r="A26" s="17" t="n">
        <v>25</v>
      </c>
      <c r="B26" s="17" t="inlineStr">
        <is>
          <t>1 · Core patterns</t>
        </is>
      </c>
      <c r="C26" s="17" t="inlineStr">
        <is>
          <t>Stack</t>
        </is>
      </c>
      <c r="D26" s="17" t="inlineStr">
        <is>
          <t>Min Stack</t>
        </is>
      </c>
      <c r="E26" s="17" t="inlineStr">
        <is>
          <t>Medium</t>
        </is>
      </c>
      <c r="F26" s="17" t="inlineStr">
        <is>
          <t>NeetCode 150</t>
        </is>
      </c>
      <c r="G26" s="18" t="n"/>
      <c r="H26" s="21" t="n"/>
      <c r="I26" s="21" t="n"/>
      <c r="J26" s="21" t="n"/>
      <c r="K26" s="17">
        <f>IF(G26="","Not started",IF(J26&lt;&gt;"","Mastered",IF(G26="Solo","Solved","Review "&amp;IF(I26&lt;&gt;"",3,IF(H26&lt;&gt;"",2,1))&amp;IF(AND(ISNUMBER(M26),M26&gt;TODAY())," scheduled"," due"))))</f>
        <v/>
      </c>
      <c r="L26" s="21"/>
      <c r="M26" s="22">
        <f>IF(OR(G26="",G26="Solo",J26&lt;&gt;"",NOT(ISNUMBER(L26))),"",MAX(L26,H26,I26)+IF(I26&lt;&gt;"",21,IF(H26&lt;&gt;"",7,3)))</f>
        <v/>
      </c>
      <c r="N26" s="19" t="n"/>
      <c r="O26" s="19" t="n"/>
    </row>
    <row r="27">
      <c r="A27" s="17" t="n">
        <v>26</v>
      </c>
      <c r="B27" s="17" t="inlineStr">
        <is>
          <t>1 · Core patterns</t>
        </is>
      </c>
      <c r="C27" s="17" t="inlineStr">
        <is>
          <t>Stack</t>
        </is>
      </c>
      <c r="D27" s="17" t="inlineStr">
        <is>
          <t>Evaluate Reverse Polish Notation</t>
        </is>
      </c>
      <c r="E27" s="17" t="inlineStr">
        <is>
          <t>Medium</t>
        </is>
      </c>
      <c r="F27" s="17" t="inlineStr">
        <is>
          <t>NeetCode 150</t>
        </is>
      </c>
      <c r="G27" s="18" t="n"/>
      <c r="H27" s="21" t="n"/>
      <c r="I27" s="21" t="n"/>
      <c r="J27" s="21" t="n"/>
      <c r="K27" s="17">
        <f>IF(G27="","Not started",IF(J27&lt;&gt;"","Mastered",IF(G27="Solo","Solved","Review "&amp;IF(I27&lt;&gt;"",3,IF(H27&lt;&gt;"",2,1))&amp;IF(AND(ISNUMBER(M27),M27&gt;TODAY())," scheduled"," due"))))</f>
        <v/>
      </c>
      <c r="L27" s="21"/>
      <c r="M27" s="22">
        <f>IF(OR(G27="",G27="Solo",J27&lt;&gt;"",NOT(ISNUMBER(L27))),"",MAX(L27,H27,I27)+IF(I27&lt;&gt;"",21,IF(H27&lt;&gt;"",7,3)))</f>
        <v/>
      </c>
      <c r="N27" s="19" t="n"/>
      <c r="O27" s="19" t="n"/>
    </row>
    <row r="28">
      <c r="A28" s="17" t="n">
        <v>27</v>
      </c>
      <c r="B28" s="17" t="inlineStr">
        <is>
          <t>1 · Core patterns</t>
        </is>
      </c>
      <c r="C28" s="17" t="inlineStr">
        <is>
          <t>Stack</t>
        </is>
      </c>
      <c r="D28" s="17" t="inlineStr">
        <is>
          <t>Generate Parentheses</t>
        </is>
      </c>
      <c r="E28" s="17" t="inlineStr">
        <is>
          <t>Medium</t>
        </is>
      </c>
      <c r="F28" s="17" t="inlineStr">
        <is>
          <t>NeetCode 150</t>
        </is>
      </c>
      <c r="G28" s="18" t="n"/>
      <c r="H28" s="21" t="n"/>
      <c r="I28" s="21" t="n"/>
      <c r="J28" s="21" t="n"/>
      <c r="K28" s="17">
        <f>IF(G28="","Not started",IF(J28&lt;&gt;"","Mastered",IF(G28="Solo","Solved","Review "&amp;IF(I28&lt;&gt;"",3,IF(H28&lt;&gt;"",2,1))&amp;IF(AND(ISNUMBER(M28),M28&gt;TODAY())," scheduled"," due"))))</f>
        <v/>
      </c>
      <c r="L28" s="21"/>
      <c r="M28" s="22">
        <f>IF(OR(G28="",G28="Solo",J28&lt;&gt;"",NOT(ISNUMBER(L28))),"",MAX(L28,H28,I28)+IF(I28&lt;&gt;"",21,IF(H28&lt;&gt;"",7,3)))</f>
        <v/>
      </c>
      <c r="N28" s="19" t="n"/>
      <c r="O28" s="19" t="n"/>
    </row>
    <row r="29">
      <c r="A29" s="17" t="n">
        <v>28</v>
      </c>
      <c r="B29" s="17" t="inlineStr">
        <is>
          <t>1 · Core patterns</t>
        </is>
      </c>
      <c r="C29" s="17" t="inlineStr">
        <is>
          <t>Stack</t>
        </is>
      </c>
      <c r="D29" s="17" t="inlineStr">
        <is>
          <t>Daily Temperatures</t>
        </is>
      </c>
      <c r="E29" s="17" t="inlineStr">
        <is>
          <t>Medium</t>
        </is>
      </c>
      <c r="F29" s="17" t="inlineStr">
        <is>
          <t>NeetCode 150</t>
        </is>
      </c>
      <c r="G29" s="18" t="n"/>
      <c r="H29" s="21" t="n"/>
      <c r="I29" s="21" t="n"/>
      <c r="J29" s="21" t="n"/>
      <c r="K29" s="17">
        <f>IF(G29="","Not started",IF(J29&lt;&gt;"","Mastered",IF(G29="Solo","Solved","Review "&amp;IF(I29&lt;&gt;"",3,IF(H29&lt;&gt;"",2,1))&amp;IF(AND(ISNUMBER(M29),M29&gt;TODAY())," scheduled"," due"))))</f>
        <v/>
      </c>
      <c r="L29" s="21"/>
      <c r="M29" s="22">
        <f>IF(OR(G29="",G29="Solo",J29&lt;&gt;"",NOT(ISNUMBER(L29))),"",MAX(L29,H29,I29)+IF(I29&lt;&gt;"",21,IF(H29&lt;&gt;"",7,3)))</f>
        <v/>
      </c>
      <c r="N29" s="19" t="n"/>
      <c r="O29" s="19" t="n"/>
    </row>
    <row r="30">
      <c r="A30" s="17" t="n">
        <v>29</v>
      </c>
      <c r="B30" s="17" t="inlineStr">
        <is>
          <t>1 · Core patterns</t>
        </is>
      </c>
      <c r="C30" s="17" t="inlineStr">
        <is>
          <t>Stack</t>
        </is>
      </c>
      <c r="D30" s="17" t="inlineStr">
        <is>
          <t>Car Fleet</t>
        </is>
      </c>
      <c r="E30" s="17" t="inlineStr">
        <is>
          <t>Medium</t>
        </is>
      </c>
      <c r="F30" s="17" t="inlineStr">
        <is>
          <t>NeetCode 150</t>
        </is>
      </c>
      <c r="G30" s="18" t="n"/>
      <c r="H30" s="21" t="n"/>
      <c r="I30" s="21" t="n"/>
      <c r="J30" s="21" t="n"/>
      <c r="K30" s="17">
        <f>IF(G30="","Not started",IF(J30&lt;&gt;"","Mastered",IF(G30="Solo","Solved","Review "&amp;IF(I30&lt;&gt;"",3,IF(H30&lt;&gt;"",2,1))&amp;IF(AND(ISNUMBER(M30),M30&gt;TODAY())," scheduled"," due"))))</f>
        <v/>
      </c>
      <c r="L30" s="21"/>
      <c r="M30" s="22">
        <f>IF(OR(G30="",G30="Solo",J30&lt;&gt;"",NOT(ISNUMBER(L30))),"",MAX(L30,H30,I30)+IF(I30&lt;&gt;"",21,IF(H30&lt;&gt;"",7,3)))</f>
        <v/>
      </c>
      <c r="N30" s="19" t="n"/>
      <c r="O30" s="19" t="n"/>
    </row>
    <row r="31">
      <c r="A31" s="17" t="n">
        <v>30</v>
      </c>
      <c r="B31" s="17" t="inlineStr">
        <is>
          <t>1 · Core patterns</t>
        </is>
      </c>
      <c r="C31" s="17" t="inlineStr">
        <is>
          <t>Stack</t>
        </is>
      </c>
      <c r="D31" s="17" t="inlineStr">
        <is>
          <t>Largest Rectangle in Histogram</t>
        </is>
      </c>
      <c r="E31" s="17" t="inlineStr">
        <is>
          <t>Hard</t>
        </is>
      </c>
      <c r="F31" s="17" t="inlineStr">
        <is>
          <t>NeetCode 150</t>
        </is>
      </c>
      <c r="G31" s="18" t="n"/>
      <c r="H31" s="21" t="n"/>
      <c r="I31" s="21" t="n"/>
      <c r="J31" s="21" t="n"/>
      <c r="K31" s="17">
        <f>IF(G31="","Not started",IF(J31&lt;&gt;"","Mastered",IF(G31="Solo","Solved","Review "&amp;IF(I31&lt;&gt;"",3,IF(H31&lt;&gt;"",2,1))&amp;IF(AND(ISNUMBER(M31),M31&gt;TODAY())," scheduled"," due"))))</f>
        <v/>
      </c>
      <c r="L31" s="21"/>
      <c r="M31" s="22">
        <f>IF(OR(G31="",G31="Solo",J31&lt;&gt;"",NOT(ISNUMBER(L31))),"",MAX(L31,H31,I31)+IF(I31&lt;&gt;"",21,IF(H31&lt;&gt;"",7,3)))</f>
        <v/>
      </c>
      <c r="N31" s="19" t="n"/>
      <c r="O31" s="19" t="n"/>
    </row>
    <row r="32">
      <c r="A32" s="17" t="n">
        <v>31</v>
      </c>
      <c r="B32" s="17" t="inlineStr">
        <is>
          <t>1 · Core patterns</t>
        </is>
      </c>
      <c r="C32" s="17" t="inlineStr">
        <is>
          <t>Binary Search</t>
        </is>
      </c>
      <c r="D32" s="17" t="inlineStr">
        <is>
          <t>Binary Search</t>
        </is>
      </c>
      <c r="E32" s="17" t="inlineStr">
        <is>
          <t>Easy</t>
        </is>
      </c>
      <c r="F32" s="17" t="inlineStr">
        <is>
          <t>NeetCode 150</t>
        </is>
      </c>
      <c r="G32" s="18" t="n"/>
      <c r="H32" s="21" t="n"/>
      <c r="I32" s="21" t="n"/>
      <c r="J32" s="21" t="n"/>
      <c r="K32" s="17">
        <f>IF(G32="","Not started",IF(J32&lt;&gt;"","Mastered",IF(G32="Solo","Solved","Review "&amp;IF(I32&lt;&gt;"",3,IF(H32&lt;&gt;"",2,1))&amp;IF(AND(ISNUMBER(M32),M32&gt;TODAY())," scheduled"," due"))))</f>
        <v/>
      </c>
      <c r="L32" s="21"/>
      <c r="M32" s="22">
        <f>IF(OR(G32="",G32="Solo",J32&lt;&gt;"",NOT(ISNUMBER(L32))),"",MAX(L32,H32,I32)+IF(I32&lt;&gt;"",21,IF(H32&lt;&gt;"",7,3)))</f>
        <v/>
      </c>
      <c r="N32" s="19" t="n"/>
      <c r="O32" s="19" t="n"/>
    </row>
    <row r="33">
      <c r="A33" s="17" t="n">
        <v>32</v>
      </c>
      <c r="B33" s="17" t="inlineStr">
        <is>
          <t>1 · Core patterns</t>
        </is>
      </c>
      <c r="C33" s="17" t="inlineStr">
        <is>
          <t>Binary Search</t>
        </is>
      </c>
      <c r="D33" s="17" t="inlineStr">
        <is>
          <t>Search a 2D Matrix</t>
        </is>
      </c>
      <c r="E33" s="17" t="inlineStr">
        <is>
          <t>Medium</t>
        </is>
      </c>
      <c r="F33" s="17" t="inlineStr">
        <is>
          <t>NeetCode 150</t>
        </is>
      </c>
      <c r="G33" s="18" t="n"/>
      <c r="H33" s="21" t="n"/>
      <c r="I33" s="21" t="n"/>
      <c r="J33" s="21" t="n"/>
      <c r="K33" s="17">
        <f>IF(G33="","Not started",IF(J33&lt;&gt;"","Mastered",IF(G33="Solo","Solved","Review "&amp;IF(I33&lt;&gt;"",3,IF(H33&lt;&gt;"",2,1))&amp;IF(AND(ISNUMBER(M33),M33&gt;TODAY())," scheduled"," due"))))</f>
        <v/>
      </c>
      <c r="L33" s="21"/>
      <c r="M33" s="22">
        <f>IF(OR(G33="",G33="Solo",J33&lt;&gt;"",NOT(ISNUMBER(L33))),"",MAX(L33,H33,I33)+IF(I33&lt;&gt;"",21,IF(H33&lt;&gt;"",7,3)))</f>
        <v/>
      </c>
      <c r="N33" s="19" t="n"/>
      <c r="O33" s="19" t="n"/>
    </row>
    <row r="34">
      <c r="A34" s="17" t="n">
        <v>33</v>
      </c>
      <c r="B34" s="17" t="inlineStr">
        <is>
          <t>1 · Core patterns</t>
        </is>
      </c>
      <c r="C34" s="17" t="inlineStr">
        <is>
          <t>Binary Search</t>
        </is>
      </c>
      <c r="D34" s="17" t="inlineStr">
        <is>
          <t>Koko Eating Bananas</t>
        </is>
      </c>
      <c r="E34" s="17" t="inlineStr">
        <is>
          <t>Medium</t>
        </is>
      </c>
      <c r="F34" s="17" t="inlineStr">
        <is>
          <t>NeetCode 150</t>
        </is>
      </c>
      <c r="G34" s="18" t="n"/>
      <c r="H34" s="21" t="n"/>
      <c r="I34" s="21" t="n"/>
      <c r="J34" s="21" t="n"/>
      <c r="K34" s="17">
        <f>IF(G34="","Not started",IF(J34&lt;&gt;"","Mastered",IF(G34="Solo","Solved","Review "&amp;IF(I34&lt;&gt;"",3,IF(H34&lt;&gt;"",2,1))&amp;IF(AND(ISNUMBER(M34),M34&gt;TODAY())," scheduled"," due"))))</f>
        <v/>
      </c>
      <c r="L34" s="21"/>
      <c r="M34" s="22">
        <f>IF(OR(G34="",G34="Solo",J34&lt;&gt;"",NOT(ISNUMBER(L34))),"",MAX(L34,H34,I34)+IF(I34&lt;&gt;"",21,IF(H34&lt;&gt;"",7,3)))</f>
        <v/>
      </c>
      <c r="N34" s="19" t="n"/>
      <c r="O34" s="19" t="n"/>
    </row>
    <row r="35">
      <c r="A35" s="17" t="n">
        <v>34</v>
      </c>
      <c r="B35" s="17" t="inlineStr">
        <is>
          <t>1 · Core patterns</t>
        </is>
      </c>
      <c r="C35" s="17" t="inlineStr">
        <is>
          <t>Binary Search</t>
        </is>
      </c>
      <c r="D35" s="17" t="inlineStr">
        <is>
          <t>Find Minimum in Rotated Sorted Array</t>
        </is>
      </c>
      <c r="E35" s="17" t="inlineStr">
        <is>
          <t>Medium</t>
        </is>
      </c>
      <c r="F35" s="17" t="inlineStr">
        <is>
          <t>NeetCode 150</t>
        </is>
      </c>
      <c r="G35" s="18" t="n"/>
      <c r="H35" s="21" t="n"/>
      <c r="I35" s="21" t="n"/>
      <c r="J35" s="21" t="n"/>
      <c r="K35" s="17">
        <f>IF(G35="","Not started",IF(J35&lt;&gt;"","Mastered",IF(G35="Solo","Solved","Review "&amp;IF(I35&lt;&gt;"",3,IF(H35&lt;&gt;"",2,1))&amp;IF(AND(ISNUMBER(M35),M35&gt;TODAY())," scheduled"," due"))))</f>
        <v/>
      </c>
      <c r="L35" s="21"/>
      <c r="M35" s="22">
        <f>IF(OR(G35="",G35="Solo",J35&lt;&gt;"",NOT(ISNUMBER(L35))),"",MAX(L35,H35,I35)+IF(I35&lt;&gt;"",21,IF(H35&lt;&gt;"",7,3)))</f>
        <v/>
      </c>
      <c r="N35" s="19" t="n"/>
      <c r="O35" s="19" t="n"/>
    </row>
    <row r="36">
      <c r="A36" s="17" t="n">
        <v>35</v>
      </c>
      <c r="B36" s="17" t="inlineStr">
        <is>
          <t>1 · Core patterns</t>
        </is>
      </c>
      <c r="C36" s="17" t="inlineStr">
        <is>
          <t>Binary Search</t>
        </is>
      </c>
      <c r="D36" s="17" t="inlineStr">
        <is>
          <t>Search in Rotated Sorted Array</t>
        </is>
      </c>
      <c r="E36" s="17" t="inlineStr">
        <is>
          <t>Medium</t>
        </is>
      </c>
      <c r="F36" s="17" t="inlineStr">
        <is>
          <t>NeetCode 150</t>
        </is>
      </c>
      <c r="G36" s="18" t="n"/>
      <c r="H36" s="21" t="n"/>
      <c r="I36" s="21" t="n"/>
      <c r="J36" s="21" t="n"/>
      <c r="K36" s="17">
        <f>IF(G36="","Not started",IF(J36&lt;&gt;"","Mastered",IF(G36="Solo","Solved","Review "&amp;IF(I36&lt;&gt;"",3,IF(H36&lt;&gt;"",2,1))&amp;IF(AND(ISNUMBER(M36),M36&gt;TODAY())," scheduled"," due"))))</f>
        <v/>
      </c>
      <c r="L36" s="21"/>
      <c r="M36" s="22">
        <f>IF(OR(G36="",G36="Solo",J36&lt;&gt;"",NOT(ISNUMBER(L36))),"",MAX(L36,H36,I36)+IF(I36&lt;&gt;"",21,IF(H36&lt;&gt;"",7,3)))</f>
        <v/>
      </c>
      <c r="N36" s="19" t="n"/>
      <c r="O36" s="19" t="n"/>
    </row>
    <row r="37">
      <c r="A37" s="17" t="n">
        <v>36</v>
      </c>
      <c r="B37" s="17" t="inlineStr">
        <is>
          <t>1 · Core patterns</t>
        </is>
      </c>
      <c r="C37" s="17" t="inlineStr">
        <is>
          <t>Binary Search</t>
        </is>
      </c>
      <c r="D37" s="17" t="inlineStr">
        <is>
          <t>Time Based Key-Value Store</t>
        </is>
      </c>
      <c r="E37" s="17" t="inlineStr">
        <is>
          <t>Medium</t>
        </is>
      </c>
      <c r="F37" s="17" t="inlineStr">
        <is>
          <t>NeetCode 150</t>
        </is>
      </c>
      <c r="G37" s="18" t="n"/>
      <c r="H37" s="21" t="n"/>
      <c r="I37" s="21" t="n"/>
      <c r="J37" s="21" t="n"/>
      <c r="K37" s="17">
        <f>IF(G37="","Not started",IF(J37&lt;&gt;"","Mastered",IF(G37="Solo","Solved","Review "&amp;IF(I37&lt;&gt;"",3,IF(H37&lt;&gt;"",2,1))&amp;IF(AND(ISNUMBER(M37),M37&gt;TODAY())," scheduled"," due"))))</f>
        <v/>
      </c>
      <c r="L37" s="21"/>
      <c r="M37" s="22">
        <f>IF(OR(G37="",G37="Solo",J37&lt;&gt;"",NOT(ISNUMBER(L37))),"",MAX(L37,H37,I37)+IF(I37&lt;&gt;"",21,IF(H37&lt;&gt;"",7,3)))</f>
        <v/>
      </c>
      <c r="N37" s="19" t="n"/>
      <c r="O37" s="19" t="n"/>
    </row>
    <row r="38">
      <c r="A38" s="17" t="n">
        <v>37</v>
      </c>
      <c r="B38" s="17" t="inlineStr">
        <is>
          <t>1 · Core patterns</t>
        </is>
      </c>
      <c r="C38" s="17" t="inlineStr">
        <is>
          <t>Binary Search</t>
        </is>
      </c>
      <c r="D38" s="17" t="inlineStr">
        <is>
          <t>Median of Two Sorted Arrays</t>
        </is>
      </c>
      <c r="E38" s="17" t="inlineStr">
        <is>
          <t>Hard</t>
        </is>
      </c>
      <c r="F38" s="17" t="inlineStr">
        <is>
          <t>NeetCode 150</t>
        </is>
      </c>
      <c r="G38" s="18" t="n"/>
      <c r="H38" s="21" t="n"/>
      <c r="I38" s="21" t="n"/>
      <c r="J38" s="21" t="n"/>
      <c r="K38" s="17">
        <f>IF(G38="","Not started",IF(J38&lt;&gt;"","Mastered",IF(G38="Solo","Solved","Review "&amp;IF(I38&lt;&gt;"",3,IF(H38&lt;&gt;"",2,1))&amp;IF(AND(ISNUMBER(M38),M38&gt;TODAY())," scheduled"," due"))))</f>
        <v/>
      </c>
      <c r="L38" s="21"/>
      <c r="M38" s="22">
        <f>IF(OR(G38="",G38="Solo",J38&lt;&gt;"",NOT(ISNUMBER(L38))),"",MAX(L38,H38,I38)+IF(I38&lt;&gt;"",21,IF(H38&lt;&gt;"",7,3)))</f>
        <v/>
      </c>
      <c r="N38" s="19" t="n"/>
      <c r="O38" s="19" t="n"/>
    </row>
    <row r="39">
      <c r="A39" s="17" t="n">
        <v>38</v>
      </c>
      <c r="B39" s="17" t="inlineStr">
        <is>
          <t>1 · Core patterns</t>
        </is>
      </c>
      <c r="C39" s="17" t="inlineStr">
        <is>
          <t>Linked List</t>
        </is>
      </c>
      <c r="D39" s="17" t="inlineStr">
        <is>
          <t>Reverse Linked List</t>
        </is>
      </c>
      <c r="E39" s="17" t="inlineStr">
        <is>
          <t>Easy</t>
        </is>
      </c>
      <c r="F39" s="17" t="inlineStr">
        <is>
          <t>NeetCode 150</t>
        </is>
      </c>
      <c r="G39" s="18" t="n"/>
      <c r="H39" s="21" t="n"/>
      <c r="I39" s="21" t="n"/>
      <c r="J39" s="21" t="n"/>
      <c r="K39" s="17">
        <f>IF(G39="","Not started",IF(J39&lt;&gt;"","Mastered",IF(G39="Solo","Solved","Review "&amp;IF(I39&lt;&gt;"",3,IF(H39&lt;&gt;"",2,1))&amp;IF(AND(ISNUMBER(M39),M39&gt;TODAY())," scheduled"," due"))))</f>
        <v/>
      </c>
      <c r="L39" s="21"/>
      <c r="M39" s="22">
        <f>IF(OR(G39="",G39="Solo",J39&lt;&gt;"",NOT(ISNUMBER(L39))),"",MAX(L39,H39,I39)+IF(I39&lt;&gt;"",21,IF(H39&lt;&gt;"",7,3)))</f>
        <v/>
      </c>
      <c r="N39" s="19" t="n"/>
      <c r="O39" s="19" t="n"/>
    </row>
    <row r="40">
      <c r="A40" s="17" t="n">
        <v>39</v>
      </c>
      <c r="B40" s="17" t="inlineStr">
        <is>
          <t>1 · Core patterns</t>
        </is>
      </c>
      <c r="C40" s="17" t="inlineStr">
        <is>
          <t>Linked List</t>
        </is>
      </c>
      <c r="D40" s="17" t="inlineStr">
        <is>
          <t>Merge Two Sorted Lists</t>
        </is>
      </c>
      <c r="E40" s="17" t="inlineStr">
        <is>
          <t>Easy</t>
        </is>
      </c>
      <c r="F40" s="17" t="inlineStr">
        <is>
          <t>NeetCode 150</t>
        </is>
      </c>
      <c r="G40" s="18" t="n"/>
      <c r="H40" s="21" t="n"/>
      <c r="I40" s="21" t="n"/>
      <c r="J40" s="21" t="n"/>
      <c r="K40" s="17">
        <f>IF(G40="","Not started",IF(J40&lt;&gt;"","Mastered",IF(G40="Solo","Solved","Review "&amp;IF(I40&lt;&gt;"",3,IF(H40&lt;&gt;"",2,1))&amp;IF(AND(ISNUMBER(M40),M40&gt;TODAY())," scheduled"," due"))))</f>
        <v/>
      </c>
      <c r="L40" s="21"/>
      <c r="M40" s="22">
        <f>IF(OR(G40="",G40="Solo",J40&lt;&gt;"",NOT(ISNUMBER(L40))),"",MAX(L40,H40,I40)+IF(I40&lt;&gt;"",21,IF(H40&lt;&gt;"",7,3)))</f>
        <v/>
      </c>
      <c r="N40" s="19" t="n"/>
      <c r="O40" s="19" t="n"/>
    </row>
    <row r="41">
      <c r="A41" s="17" t="n">
        <v>40</v>
      </c>
      <c r="B41" s="17" t="inlineStr">
        <is>
          <t>1 · Core patterns</t>
        </is>
      </c>
      <c r="C41" s="17" t="inlineStr">
        <is>
          <t>Linked List</t>
        </is>
      </c>
      <c r="D41" s="17" t="inlineStr">
        <is>
          <t>Linked List Cycle</t>
        </is>
      </c>
      <c r="E41" s="17" t="inlineStr">
        <is>
          <t>Easy</t>
        </is>
      </c>
      <c r="F41" s="17" t="inlineStr">
        <is>
          <t>NeetCode 150</t>
        </is>
      </c>
      <c r="G41" s="18" t="n"/>
      <c r="H41" s="21" t="n"/>
      <c r="I41" s="21" t="n"/>
      <c r="J41" s="21" t="n"/>
      <c r="K41" s="17">
        <f>IF(G41="","Not started",IF(J41&lt;&gt;"","Mastered",IF(G41="Solo","Solved","Review "&amp;IF(I41&lt;&gt;"",3,IF(H41&lt;&gt;"",2,1))&amp;IF(AND(ISNUMBER(M41),M41&gt;TODAY())," scheduled"," due"))))</f>
        <v/>
      </c>
      <c r="L41" s="21"/>
      <c r="M41" s="22">
        <f>IF(OR(G41="",G41="Solo",J41&lt;&gt;"",NOT(ISNUMBER(L41))),"",MAX(L41,H41,I41)+IF(I41&lt;&gt;"",21,IF(H41&lt;&gt;"",7,3)))</f>
        <v/>
      </c>
      <c r="N41" s="19" t="n"/>
      <c r="O41" s="19" t="n"/>
    </row>
    <row r="42">
      <c r="A42" s="17" t="n">
        <v>41</v>
      </c>
      <c r="B42" s="17" t="inlineStr">
        <is>
          <t>1 · Core patterns</t>
        </is>
      </c>
      <c r="C42" s="17" t="inlineStr">
        <is>
          <t>Linked List</t>
        </is>
      </c>
      <c r="D42" s="17" t="inlineStr">
        <is>
          <t>Reorder List</t>
        </is>
      </c>
      <c r="E42" s="17" t="inlineStr">
        <is>
          <t>Medium</t>
        </is>
      </c>
      <c r="F42" s="17" t="inlineStr">
        <is>
          <t>NeetCode 150</t>
        </is>
      </c>
      <c r="G42" s="18" t="n"/>
      <c r="H42" s="21" t="n"/>
      <c r="I42" s="21" t="n"/>
      <c r="J42" s="21" t="n"/>
      <c r="K42" s="17">
        <f>IF(G42="","Not started",IF(J42&lt;&gt;"","Mastered",IF(G42="Solo","Solved","Review "&amp;IF(I42&lt;&gt;"",3,IF(H42&lt;&gt;"",2,1))&amp;IF(AND(ISNUMBER(M42),M42&gt;TODAY())," scheduled"," due"))))</f>
        <v/>
      </c>
      <c r="L42" s="21"/>
      <c r="M42" s="22">
        <f>IF(OR(G42="",G42="Solo",J42&lt;&gt;"",NOT(ISNUMBER(L42))),"",MAX(L42,H42,I42)+IF(I42&lt;&gt;"",21,IF(H42&lt;&gt;"",7,3)))</f>
        <v/>
      </c>
      <c r="N42" s="19" t="n"/>
      <c r="O42" s="19" t="n"/>
    </row>
    <row r="43">
      <c r="A43" s="17" t="n">
        <v>42</v>
      </c>
      <c r="B43" s="17" t="inlineStr">
        <is>
          <t>1 · Core patterns</t>
        </is>
      </c>
      <c r="C43" s="17" t="inlineStr">
        <is>
          <t>Linked List</t>
        </is>
      </c>
      <c r="D43" s="17" t="inlineStr">
        <is>
          <t>Remove Nth Node From End of List</t>
        </is>
      </c>
      <c r="E43" s="17" t="inlineStr">
        <is>
          <t>Medium</t>
        </is>
      </c>
      <c r="F43" s="17" t="inlineStr">
        <is>
          <t>NeetCode 150</t>
        </is>
      </c>
      <c r="G43" s="18" t="n"/>
      <c r="H43" s="21" t="n"/>
      <c r="I43" s="21" t="n"/>
      <c r="J43" s="21" t="n"/>
      <c r="K43" s="17">
        <f>IF(G43="","Not started",IF(J43&lt;&gt;"","Mastered",IF(G43="Solo","Solved","Review "&amp;IF(I43&lt;&gt;"",3,IF(H43&lt;&gt;"",2,1))&amp;IF(AND(ISNUMBER(M43),M43&gt;TODAY())," scheduled"," due"))))</f>
        <v/>
      </c>
      <c r="L43" s="21"/>
      <c r="M43" s="22">
        <f>IF(OR(G43="",G43="Solo",J43&lt;&gt;"",NOT(ISNUMBER(L43))),"",MAX(L43,H43,I43)+IF(I43&lt;&gt;"",21,IF(H43&lt;&gt;"",7,3)))</f>
        <v/>
      </c>
      <c r="N43" s="19" t="n"/>
      <c r="O43" s="19" t="n"/>
    </row>
    <row r="44">
      <c r="A44" s="17" t="n">
        <v>43</v>
      </c>
      <c r="B44" s="17" t="inlineStr">
        <is>
          <t>1 · Core patterns</t>
        </is>
      </c>
      <c r="C44" s="17" t="inlineStr">
        <is>
          <t>Linked List</t>
        </is>
      </c>
      <c r="D44" s="17" t="inlineStr">
        <is>
          <t>Copy List With Random Pointer</t>
        </is>
      </c>
      <c r="E44" s="17" t="inlineStr">
        <is>
          <t>Medium</t>
        </is>
      </c>
      <c r="F44" s="17" t="inlineStr">
        <is>
          <t>NeetCode 150</t>
        </is>
      </c>
      <c r="G44" s="18" t="n"/>
      <c r="H44" s="21" t="n"/>
      <c r="I44" s="21" t="n"/>
      <c r="J44" s="21" t="n"/>
      <c r="K44" s="17">
        <f>IF(G44="","Not started",IF(J44&lt;&gt;"","Mastered",IF(G44="Solo","Solved","Review "&amp;IF(I44&lt;&gt;"",3,IF(H44&lt;&gt;"",2,1))&amp;IF(AND(ISNUMBER(M44),M44&gt;TODAY())," scheduled"," due"))))</f>
        <v/>
      </c>
      <c r="L44" s="21"/>
      <c r="M44" s="22">
        <f>IF(OR(G44="",G44="Solo",J44&lt;&gt;"",NOT(ISNUMBER(L44))),"",MAX(L44,H44,I44)+IF(I44&lt;&gt;"",21,IF(H44&lt;&gt;"",7,3)))</f>
        <v/>
      </c>
      <c r="N44" s="19" t="n"/>
      <c r="O44" s="19" t="n"/>
    </row>
    <row r="45">
      <c r="A45" s="17" t="n">
        <v>44</v>
      </c>
      <c r="B45" s="17" t="inlineStr">
        <is>
          <t>1 · Core patterns</t>
        </is>
      </c>
      <c r="C45" s="17" t="inlineStr">
        <is>
          <t>Linked List</t>
        </is>
      </c>
      <c r="D45" s="17" t="inlineStr">
        <is>
          <t>Add Two Numbers</t>
        </is>
      </c>
      <c r="E45" s="17" t="inlineStr">
        <is>
          <t>Medium</t>
        </is>
      </c>
      <c r="F45" s="17" t="inlineStr">
        <is>
          <t>NeetCode 150</t>
        </is>
      </c>
      <c r="G45" s="18" t="n"/>
      <c r="H45" s="21" t="n"/>
      <c r="I45" s="21" t="n"/>
      <c r="J45" s="21" t="n"/>
      <c r="K45" s="17">
        <f>IF(G45="","Not started",IF(J45&lt;&gt;"","Mastered",IF(G45="Solo","Solved","Review "&amp;IF(I45&lt;&gt;"",3,IF(H45&lt;&gt;"",2,1))&amp;IF(AND(ISNUMBER(M45),M45&gt;TODAY())," scheduled"," due"))))</f>
        <v/>
      </c>
      <c r="L45" s="21"/>
      <c r="M45" s="22">
        <f>IF(OR(G45="",G45="Solo",J45&lt;&gt;"",NOT(ISNUMBER(L45))),"",MAX(L45,H45,I45)+IF(I45&lt;&gt;"",21,IF(H45&lt;&gt;"",7,3)))</f>
        <v/>
      </c>
      <c r="N45" s="19" t="n"/>
      <c r="O45" s="19" t="n"/>
    </row>
    <row r="46">
      <c r="A46" s="17" t="n">
        <v>45</v>
      </c>
      <c r="B46" s="17" t="inlineStr">
        <is>
          <t>1 · Core patterns</t>
        </is>
      </c>
      <c r="C46" s="17" t="inlineStr">
        <is>
          <t>Linked List</t>
        </is>
      </c>
      <c r="D46" s="17" t="inlineStr">
        <is>
          <t>Find the Duplicate Number</t>
        </is>
      </c>
      <c r="E46" s="17" t="inlineStr">
        <is>
          <t>Medium</t>
        </is>
      </c>
      <c r="F46" s="17" t="inlineStr">
        <is>
          <t>NeetCode 150</t>
        </is>
      </c>
      <c r="G46" s="18" t="n"/>
      <c r="H46" s="21" t="n"/>
      <c r="I46" s="21" t="n"/>
      <c r="J46" s="21" t="n"/>
      <c r="K46" s="17">
        <f>IF(G46="","Not started",IF(J46&lt;&gt;"","Mastered",IF(G46="Solo","Solved","Review "&amp;IF(I46&lt;&gt;"",3,IF(H46&lt;&gt;"",2,1))&amp;IF(AND(ISNUMBER(M46),M46&gt;TODAY())," scheduled"," due"))))</f>
        <v/>
      </c>
      <c r="L46" s="21"/>
      <c r="M46" s="22">
        <f>IF(OR(G46="",G46="Solo",J46&lt;&gt;"",NOT(ISNUMBER(L46))),"",MAX(L46,H46,I46)+IF(I46&lt;&gt;"",21,IF(H46&lt;&gt;"",7,3)))</f>
        <v/>
      </c>
      <c r="N46" s="19" t="n"/>
      <c r="O46" s="19" t="n"/>
    </row>
    <row r="47">
      <c r="A47" s="17" t="n">
        <v>46</v>
      </c>
      <c r="B47" s="17" t="inlineStr">
        <is>
          <t>1 · Core patterns</t>
        </is>
      </c>
      <c r="C47" s="17" t="inlineStr">
        <is>
          <t>Linked List</t>
        </is>
      </c>
      <c r="D47" s="17" t="inlineStr">
        <is>
          <t>LRU Cache</t>
        </is>
      </c>
      <c r="E47" s="17" t="inlineStr">
        <is>
          <t>Medium</t>
        </is>
      </c>
      <c r="F47" s="17" t="inlineStr">
        <is>
          <t>NeetCode 150</t>
        </is>
      </c>
      <c r="G47" s="18" t="n"/>
      <c r="H47" s="21" t="n"/>
      <c r="I47" s="21" t="n"/>
      <c r="J47" s="21" t="n"/>
      <c r="K47" s="17">
        <f>IF(G47="","Not started",IF(J47&lt;&gt;"","Mastered",IF(G47="Solo","Solved","Review "&amp;IF(I47&lt;&gt;"",3,IF(H47&lt;&gt;"",2,1))&amp;IF(AND(ISNUMBER(M47),M47&gt;TODAY())," scheduled"," due"))))</f>
        <v/>
      </c>
      <c r="L47" s="21"/>
      <c r="M47" s="22">
        <f>IF(OR(G47="",G47="Solo",J47&lt;&gt;"",NOT(ISNUMBER(L47))),"",MAX(L47,H47,I47)+IF(I47&lt;&gt;"",21,IF(H47&lt;&gt;"",7,3)))</f>
        <v/>
      </c>
      <c r="N47" s="19" t="n"/>
      <c r="O47" s="19" t="n"/>
    </row>
    <row r="48">
      <c r="A48" s="17" t="n">
        <v>47</v>
      </c>
      <c r="B48" s="17" t="inlineStr">
        <is>
          <t>1 · Core patterns</t>
        </is>
      </c>
      <c r="C48" s="17" t="inlineStr">
        <is>
          <t>Linked List</t>
        </is>
      </c>
      <c r="D48" s="17" t="inlineStr">
        <is>
          <t>Merge K Sorted Lists</t>
        </is>
      </c>
      <c r="E48" s="17" t="inlineStr">
        <is>
          <t>Hard</t>
        </is>
      </c>
      <c r="F48" s="17" t="inlineStr">
        <is>
          <t>NeetCode 150</t>
        </is>
      </c>
      <c r="G48" s="18" t="n"/>
      <c r="H48" s="21" t="n"/>
      <c r="I48" s="21" t="n"/>
      <c r="J48" s="21" t="n"/>
      <c r="K48" s="17">
        <f>IF(G48="","Not started",IF(J48&lt;&gt;"","Mastered",IF(G48="Solo","Solved","Review "&amp;IF(I48&lt;&gt;"",3,IF(H48&lt;&gt;"",2,1))&amp;IF(AND(ISNUMBER(M48),M48&gt;TODAY())," scheduled"," due"))))</f>
        <v/>
      </c>
      <c r="L48" s="21"/>
      <c r="M48" s="22">
        <f>IF(OR(G48="",G48="Solo",J48&lt;&gt;"",NOT(ISNUMBER(L48))),"",MAX(L48,H48,I48)+IF(I48&lt;&gt;"",21,IF(H48&lt;&gt;"",7,3)))</f>
        <v/>
      </c>
      <c r="N48" s="19" t="n"/>
      <c r="O48" s="19" t="n"/>
    </row>
    <row r="49">
      <c r="A49" s="17" t="n">
        <v>48</v>
      </c>
      <c r="B49" s="17" t="inlineStr">
        <is>
          <t>1 · Core patterns</t>
        </is>
      </c>
      <c r="C49" s="17" t="inlineStr">
        <is>
          <t>Linked List</t>
        </is>
      </c>
      <c r="D49" s="17" t="inlineStr">
        <is>
          <t>Reverse Nodes in K-Group</t>
        </is>
      </c>
      <c r="E49" s="17" t="inlineStr">
        <is>
          <t>Hard</t>
        </is>
      </c>
      <c r="F49" s="17" t="inlineStr">
        <is>
          <t>NeetCode 150</t>
        </is>
      </c>
      <c r="G49" s="18" t="n"/>
      <c r="H49" s="21" t="n"/>
      <c r="I49" s="21" t="n"/>
      <c r="J49" s="21" t="n"/>
      <c r="K49" s="17">
        <f>IF(G49="","Not started",IF(J49&lt;&gt;"","Mastered",IF(G49="Solo","Solved","Review "&amp;IF(I49&lt;&gt;"",3,IF(H49&lt;&gt;"",2,1))&amp;IF(AND(ISNUMBER(M49),M49&gt;TODAY())," scheduled"," due"))))</f>
        <v/>
      </c>
      <c r="L49" s="21"/>
      <c r="M49" s="22">
        <f>IF(OR(G49="",G49="Solo",J49&lt;&gt;"",NOT(ISNUMBER(L49))),"",MAX(L49,H49,I49)+IF(I49&lt;&gt;"",21,IF(H49&lt;&gt;"",7,3)))</f>
        <v/>
      </c>
      <c r="N49" s="19" t="n"/>
      <c r="O49" s="19" t="n"/>
    </row>
    <row r="50">
      <c r="A50" s="17" t="n">
        <v>49</v>
      </c>
      <c r="B50" s="17" t="inlineStr">
        <is>
          <t>1 · Core patterns</t>
        </is>
      </c>
      <c r="C50" s="17" t="inlineStr">
        <is>
          <t>Intervals</t>
        </is>
      </c>
      <c r="D50" s="17" t="inlineStr">
        <is>
          <t>Meeting Rooms</t>
        </is>
      </c>
      <c r="E50" s="17" t="inlineStr">
        <is>
          <t>Easy</t>
        </is>
      </c>
      <c r="F50" s="17" t="inlineStr">
        <is>
          <t>NeetCode 150</t>
        </is>
      </c>
      <c r="G50" s="18" t="n"/>
      <c r="H50" s="21" t="n"/>
      <c r="I50" s="21" t="n"/>
      <c r="J50" s="21" t="n"/>
      <c r="K50" s="17">
        <f>IF(G50="","Not started",IF(J50&lt;&gt;"","Mastered",IF(G50="Solo","Solved","Review "&amp;IF(I50&lt;&gt;"",3,IF(H50&lt;&gt;"",2,1))&amp;IF(AND(ISNUMBER(M50),M50&gt;TODAY())," scheduled"," due"))))</f>
        <v/>
      </c>
      <c r="L50" s="21"/>
      <c r="M50" s="22">
        <f>IF(OR(G50="",G50="Solo",J50&lt;&gt;"",NOT(ISNUMBER(L50))),"",MAX(L50,H50,I50)+IF(I50&lt;&gt;"",21,IF(H50&lt;&gt;"",7,3)))</f>
        <v/>
      </c>
      <c r="N50" s="19" t="n"/>
      <c r="O50" s="19" t="n"/>
    </row>
    <row r="51">
      <c r="A51" s="17" t="n">
        <v>50</v>
      </c>
      <c r="B51" s="17" t="inlineStr">
        <is>
          <t>1 · Core patterns</t>
        </is>
      </c>
      <c r="C51" s="17" t="inlineStr">
        <is>
          <t>Intervals</t>
        </is>
      </c>
      <c r="D51" s="17" t="inlineStr">
        <is>
          <t>Insert Interval</t>
        </is>
      </c>
      <c r="E51" s="17" t="inlineStr">
        <is>
          <t>Medium</t>
        </is>
      </c>
      <c r="F51" s="17" t="inlineStr">
        <is>
          <t>NeetCode 150</t>
        </is>
      </c>
      <c r="G51" s="18" t="n"/>
      <c r="H51" s="21" t="n"/>
      <c r="I51" s="21" t="n"/>
      <c r="J51" s="21" t="n"/>
      <c r="K51" s="17">
        <f>IF(G51="","Not started",IF(J51&lt;&gt;"","Mastered",IF(G51="Solo","Solved","Review "&amp;IF(I51&lt;&gt;"",3,IF(H51&lt;&gt;"",2,1))&amp;IF(AND(ISNUMBER(M51),M51&gt;TODAY())," scheduled"," due"))))</f>
        <v/>
      </c>
      <c r="L51" s="21"/>
      <c r="M51" s="22">
        <f>IF(OR(G51="",G51="Solo",J51&lt;&gt;"",NOT(ISNUMBER(L51))),"",MAX(L51,H51,I51)+IF(I51&lt;&gt;"",21,IF(H51&lt;&gt;"",7,3)))</f>
        <v/>
      </c>
      <c r="N51" s="19" t="n"/>
      <c r="O51" s="19" t="n"/>
    </row>
    <row r="52">
      <c r="A52" s="17" t="n">
        <v>51</v>
      </c>
      <c r="B52" s="17" t="inlineStr">
        <is>
          <t>1 · Core patterns</t>
        </is>
      </c>
      <c r="C52" s="17" t="inlineStr">
        <is>
          <t>Intervals</t>
        </is>
      </c>
      <c r="D52" s="17" t="inlineStr">
        <is>
          <t>Merge Intervals</t>
        </is>
      </c>
      <c r="E52" s="17" t="inlineStr">
        <is>
          <t>Medium</t>
        </is>
      </c>
      <c r="F52" s="17" t="inlineStr">
        <is>
          <t>NeetCode 150</t>
        </is>
      </c>
      <c r="G52" s="18" t="n"/>
      <c r="H52" s="21" t="n"/>
      <c r="I52" s="21" t="n"/>
      <c r="J52" s="21" t="n"/>
      <c r="K52" s="17">
        <f>IF(G52="","Not started",IF(J52&lt;&gt;"","Mastered",IF(G52="Solo","Solved","Review "&amp;IF(I52&lt;&gt;"",3,IF(H52&lt;&gt;"",2,1))&amp;IF(AND(ISNUMBER(M52),M52&gt;TODAY())," scheduled"," due"))))</f>
        <v/>
      </c>
      <c r="L52" s="21"/>
      <c r="M52" s="22">
        <f>IF(OR(G52="",G52="Solo",J52&lt;&gt;"",NOT(ISNUMBER(L52))),"",MAX(L52,H52,I52)+IF(I52&lt;&gt;"",21,IF(H52&lt;&gt;"",7,3)))</f>
        <v/>
      </c>
      <c r="N52" s="19" t="n"/>
      <c r="O52" s="19" t="n"/>
    </row>
    <row r="53">
      <c r="A53" s="17" t="n">
        <v>52</v>
      </c>
      <c r="B53" s="17" t="inlineStr">
        <is>
          <t>1 · Core patterns</t>
        </is>
      </c>
      <c r="C53" s="17" t="inlineStr">
        <is>
          <t>Intervals</t>
        </is>
      </c>
      <c r="D53" s="17" t="inlineStr">
        <is>
          <t>Non-overlapping Intervals</t>
        </is>
      </c>
      <c r="E53" s="17" t="inlineStr">
        <is>
          <t>Medium</t>
        </is>
      </c>
      <c r="F53" s="17" t="inlineStr">
        <is>
          <t>NeetCode 150</t>
        </is>
      </c>
      <c r="G53" s="18" t="n"/>
      <c r="H53" s="21" t="n"/>
      <c r="I53" s="21" t="n"/>
      <c r="J53" s="21" t="n"/>
      <c r="K53" s="17">
        <f>IF(G53="","Not started",IF(J53&lt;&gt;"","Mastered",IF(G53="Solo","Solved","Review "&amp;IF(I53&lt;&gt;"",3,IF(H53&lt;&gt;"",2,1))&amp;IF(AND(ISNUMBER(M53),M53&gt;TODAY())," scheduled"," due"))))</f>
        <v/>
      </c>
      <c r="L53" s="21"/>
      <c r="M53" s="22">
        <f>IF(OR(G53="",G53="Solo",J53&lt;&gt;"",NOT(ISNUMBER(L53))),"",MAX(L53,H53,I53)+IF(I53&lt;&gt;"",21,IF(H53&lt;&gt;"",7,3)))</f>
        <v/>
      </c>
      <c r="N53" s="19" t="n"/>
      <c r="O53" s="19" t="n"/>
    </row>
    <row r="54">
      <c r="A54" s="17" t="n">
        <v>53</v>
      </c>
      <c r="B54" s="17" t="inlineStr">
        <is>
          <t>1 · Core patterns</t>
        </is>
      </c>
      <c r="C54" s="17" t="inlineStr">
        <is>
          <t>Intervals</t>
        </is>
      </c>
      <c r="D54" s="17" t="inlineStr">
        <is>
          <t>Meeting Rooms II</t>
        </is>
      </c>
      <c r="E54" s="17" t="inlineStr">
        <is>
          <t>Medium</t>
        </is>
      </c>
      <c r="F54" s="17" t="inlineStr">
        <is>
          <t>NeetCode 150</t>
        </is>
      </c>
      <c r="G54" s="18" t="n"/>
      <c r="H54" s="21" t="n"/>
      <c r="I54" s="21" t="n"/>
      <c r="J54" s="21" t="n"/>
      <c r="K54" s="17">
        <f>IF(G54="","Not started",IF(J54&lt;&gt;"","Mastered",IF(G54="Solo","Solved","Review "&amp;IF(I54&lt;&gt;"",3,IF(H54&lt;&gt;"",2,1))&amp;IF(AND(ISNUMBER(M54),M54&gt;TODAY())," scheduled"," due"))))</f>
        <v/>
      </c>
      <c r="L54" s="21"/>
      <c r="M54" s="22">
        <f>IF(OR(G54="",G54="Solo",J54&lt;&gt;"",NOT(ISNUMBER(L54))),"",MAX(L54,H54,I54)+IF(I54&lt;&gt;"",21,IF(H54&lt;&gt;"",7,3)))</f>
        <v/>
      </c>
      <c r="N54" s="19" t="n"/>
      <c r="O54" s="19" t="n"/>
    </row>
    <row r="55">
      <c r="A55" s="17" t="n">
        <v>54</v>
      </c>
      <c r="B55" s="17" t="inlineStr">
        <is>
          <t>1 · Core patterns</t>
        </is>
      </c>
      <c r="C55" s="17" t="inlineStr">
        <is>
          <t>Intervals</t>
        </is>
      </c>
      <c r="D55" s="17" t="inlineStr">
        <is>
          <t>Minimum Interval to Include Each Query</t>
        </is>
      </c>
      <c r="E55" s="17" t="inlineStr">
        <is>
          <t>Hard</t>
        </is>
      </c>
      <c r="F55" s="17" t="inlineStr">
        <is>
          <t>NeetCode 150</t>
        </is>
      </c>
      <c r="G55" s="18" t="n"/>
      <c r="H55" s="21" t="n"/>
      <c r="I55" s="21" t="n"/>
      <c r="J55" s="21" t="n"/>
      <c r="K55" s="17">
        <f>IF(G55="","Not started",IF(J55&lt;&gt;"","Mastered",IF(G55="Solo","Solved","Review "&amp;IF(I55&lt;&gt;"",3,IF(H55&lt;&gt;"",2,1))&amp;IF(AND(ISNUMBER(M55),M55&gt;TODAY())," scheduled"," due"))))</f>
        <v/>
      </c>
      <c r="L55" s="21"/>
      <c r="M55" s="22">
        <f>IF(OR(G55="",G55="Solo",J55&lt;&gt;"",NOT(ISNUMBER(L55))),"",MAX(L55,H55,I55)+IF(I55&lt;&gt;"",21,IF(H55&lt;&gt;"",7,3)))</f>
        <v/>
      </c>
      <c r="N55" s="19" t="n"/>
      <c r="O55" s="19" t="n"/>
    </row>
    <row r="56">
      <c r="A56" s="17" t="n">
        <v>55</v>
      </c>
      <c r="B56" s="17" t="inlineStr">
        <is>
          <t>2 · Trees &amp; graphs</t>
        </is>
      </c>
      <c r="C56" s="17" t="inlineStr">
        <is>
          <t>Trees</t>
        </is>
      </c>
      <c r="D56" s="17" t="inlineStr">
        <is>
          <t>Invert Binary Tree</t>
        </is>
      </c>
      <c r="E56" s="17" t="inlineStr">
        <is>
          <t>Easy</t>
        </is>
      </c>
      <c r="F56" s="17" t="inlineStr">
        <is>
          <t>NeetCode 150</t>
        </is>
      </c>
      <c r="G56" s="18" t="n"/>
      <c r="H56" s="21" t="n"/>
      <c r="I56" s="21" t="n"/>
      <c r="J56" s="21" t="n"/>
      <c r="K56" s="17">
        <f>IF(G56="","Not started",IF(J56&lt;&gt;"","Mastered",IF(G56="Solo","Solved","Review "&amp;IF(I56&lt;&gt;"",3,IF(H56&lt;&gt;"",2,1))&amp;IF(AND(ISNUMBER(M56),M56&gt;TODAY())," scheduled"," due"))))</f>
        <v/>
      </c>
      <c r="L56" s="21"/>
      <c r="M56" s="22">
        <f>IF(OR(G56="",G56="Solo",J56&lt;&gt;"",NOT(ISNUMBER(L56))),"",MAX(L56,H56,I56)+IF(I56&lt;&gt;"",21,IF(H56&lt;&gt;"",7,3)))</f>
        <v/>
      </c>
      <c r="N56" s="19" t="n"/>
      <c r="O56" s="19" t="n"/>
    </row>
    <row r="57">
      <c r="A57" s="17" t="n">
        <v>56</v>
      </c>
      <c r="B57" s="17" t="inlineStr">
        <is>
          <t>2 · Trees &amp; graphs</t>
        </is>
      </c>
      <c r="C57" s="17" t="inlineStr">
        <is>
          <t>Trees</t>
        </is>
      </c>
      <c r="D57" s="17" t="inlineStr">
        <is>
          <t>Maximum Depth of Binary Tree</t>
        </is>
      </c>
      <c r="E57" s="17" t="inlineStr">
        <is>
          <t>Easy</t>
        </is>
      </c>
      <c r="F57" s="17" t="inlineStr">
        <is>
          <t>NeetCode 150</t>
        </is>
      </c>
      <c r="G57" s="18" t="n"/>
      <c r="H57" s="21" t="n"/>
      <c r="I57" s="21" t="n"/>
      <c r="J57" s="21" t="n"/>
      <c r="K57" s="17">
        <f>IF(G57="","Not started",IF(J57&lt;&gt;"","Mastered",IF(G57="Solo","Solved","Review "&amp;IF(I57&lt;&gt;"",3,IF(H57&lt;&gt;"",2,1))&amp;IF(AND(ISNUMBER(M57),M57&gt;TODAY())," scheduled"," due"))))</f>
        <v/>
      </c>
      <c r="L57" s="21"/>
      <c r="M57" s="22">
        <f>IF(OR(G57="",G57="Solo",J57&lt;&gt;"",NOT(ISNUMBER(L57))),"",MAX(L57,H57,I57)+IF(I57&lt;&gt;"",21,IF(H57&lt;&gt;"",7,3)))</f>
        <v/>
      </c>
      <c r="N57" s="19" t="n"/>
      <c r="O57" s="19" t="n"/>
    </row>
    <row r="58">
      <c r="A58" s="17" t="n">
        <v>57</v>
      </c>
      <c r="B58" s="17" t="inlineStr">
        <is>
          <t>2 · Trees &amp; graphs</t>
        </is>
      </c>
      <c r="C58" s="17" t="inlineStr">
        <is>
          <t>Trees</t>
        </is>
      </c>
      <c r="D58" s="17" t="inlineStr">
        <is>
          <t>Diameter of Binary Tree</t>
        </is>
      </c>
      <c r="E58" s="17" t="inlineStr">
        <is>
          <t>Easy</t>
        </is>
      </c>
      <c r="F58" s="17" t="inlineStr">
        <is>
          <t>NeetCode 150</t>
        </is>
      </c>
      <c r="G58" s="18" t="n"/>
      <c r="H58" s="21" t="n"/>
      <c r="I58" s="21" t="n"/>
      <c r="J58" s="21" t="n"/>
      <c r="K58" s="17">
        <f>IF(G58="","Not started",IF(J58&lt;&gt;"","Mastered",IF(G58="Solo","Solved","Review "&amp;IF(I58&lt;&gt;"",3,IF(H58&lt;&gt;"",2,1))&amp;IF(AND(ISNUMBER(M58),M58&gt;TODAY())," scheduled"," due"))))</f>
        <v/>
      </c>
      <c r="L58" s="21"/>
      <c r="M58" s="22">
        <f>IF(OR(G58="",G58="Solo",J58&lt;&gt;"",NOT(ISNUMBER(L58))),"",MAX(L58,H58,I58)+IF(I58&lt;&gt;"",21,IF(H58&lt;&gt;"",7,3)))</f>
        <v/>
      </c>
      <c r="N58" s="19" t="n"/>
      <c r="O58" s="19" t="n"/>
    </row>
    <row r="59">
      <c r="A59" s="17" t="n">
        <v>58</v>
      </c>
      <c r="B59" s="17" t="inlineStr">
        <is>
          <t>2 · Trees &amp; graphs</t>
        </is>
      </c>
      <c r="C59" s="17" t="inlineStr">
        <is>
          <t>Trees</t>
        </is>
      </c>
      <c r="D59" s="17" t="inlineStr">
        <is>
          <t>Balanced Binary Tree</t>
        </is>
      </c>
      <c r="E59" s="17" t="inlineStr">
        <is>
          <t>Easy</t>
        </is>
      </c>
      <c r="F59" s="17" t="inlineStr">
        <is>
          <t>NeetCode 150</t>
        </is>
      </c>
      <c r="G59" s="18" t="n"/>
      <c r="H59" s="21" t="n"/>
      <c r="I59" s="21" t="n"/>
      <c r="J59" s="21" t="n"/>
      <c r="K59" s="17">
        <f>IF(G59="","Not started",IF(J59&lt;&gt;"","Mastered",IF(G59="Solo","Solved","Review "&amp;IF(I59&lt;&gt;"",3,IF(H59&lt;&gt;"",2,1))&amp;IF(AND(ISNUMBER(M59),M59&gt;TODAY())," scheduled"," due"))))</f>
        <v/>
      </c>
      <c r="L59" s="21"/>
      <c r="M59" s="22">
        <f>IF(OR(G59="",G59="Solo",J59&lt;&gt;"",NOT(ISNUMBER(L59))),"",MAX(L59,H59,I59)+IF(I59&lt;&gt;"",21,IF(H59&lt;&gt;"",7,3)))</f>
        <v/>
      </c>
      <c r="N59" s="19" t="n"/>
      <c r="O59" s="19" t="n"/>
    </row>
    <row r="60">
      <c r="A60" s="17" t="n">
        <v>59</v>
      </c>
      <c r="B60" s="17" t="inlineStr">
        <is>
          <t>2 · Trees &amp; graphs</t>
        </is>
      </c>
      <c r="C60" s="17" t="inlineStr">
        <is>
          <t>Trees</t>
        </is>
      </c>
      <c r="D60" s="17" t="inlineStr">
        <is>
          <t>Same Tree</t>
        </is>
      </c>
      <c r="E60" s="17" t="inlineStr">
        <is>
          <t>Easy</t>
        </is>
      </c>
      <c r="F60" s="17" t="inlineStr">
        <is>
          <t>NeetCode 150</t>
        </is>
      </c>
      <c r="G60" s="18" t="n"/>
      <c r="H60" s="21" t="n"/>
      <c r="I60" s="21" t="n"/>
      <c r="J60" s="21" t="n"/>
      <c r="K60" s="17">
        <f>IF(G60="","Not started",IF(J60&lt;&gt;"","Mastered",IF(G60="Solo","Solved","Review "&amp;IF(I60&lt;&gt;"",3,IF(H60&lt;&gt;"",2,1))&amp;IF(AND(ISNUMBER(M60),M60&gt;TODAY())," scheduled"," due"))))</f>
        <v/>
      </c>
      <c r="L60" s="21"/>
      <c r="M60" s="22">
        <f>IF(OR(G60="",G60="Solo",J60&lt;&gt;"",NOT(ISNUMBER(L60))),"",MAX(L60,H60,I60)+IF(I60&lt;&gt;"",21,IF(H60&lt;&gt;"",7,3)))</f>
        <v/>
      </c>
      <c r="N60" s="19" t="n"/>
      <c r="O60" s="19" t="n"/>
    </row>
    <row r="61">
      <c r="A61" s="17" t="n">
        <v>60</v>
      </c>
      <c r="B61" s="17" t="inlineStr">
        <is>
          <t>2 · Trees &amp; graphs</t>
        </is>
      </c>
      <c r="C61" s="17" t="inlineStr">
        <is>
          <t>Trees</t>
        </is>
      </c>
      <c r="D61" s="17" t="inlineStr">
        <is>
          <t>Subtree of Another Tree</t>
        </is>
      </c>
      <c r="E61" s="17" t="inlineStr">
        <is>
          <t>Easy</t>
        </is>
      </c>
      <c r="F61" s="17" t="inlineStr">
        <is>
          <t>NeetCode 150</t>
        </is>
      </c>
      <c r="G61" s="18" t="n"/>
      <c r="H61" s="21" t="n"/>
      <c r="I61" s="21" t="n"/>
      <c r="J61" s="21" t="n"/>
      <c r="K61" s="17">
        <f>IF(G61="","Not started",IF(J61&lt;&gt;"","Mastered",IF(G61="Solo","Solved","Review "&amp;IF(I61&lt;&gt;"",3,IF(H61&lt;&gt;"",2,1))&amp;IF(AND(ISNUMBER(M61),M61&gt;TODAY())," scheduled"," due"))))</f>
        <v/>
      </c>
      <c r="L61" s="21"/>
      <c r="M61" s="22">
        <f>IF(OR(G61="",G61="Solo",J61&lt;&gt;"",NOT(ISNUMBER(L61))),"",MAX(L61,H61,I61)+IF(I61&lt;&gt;"",21,IF(H61&lt;&gt;"",7,3)))</f>
        <v/>
      </c>
      <c r="N61" s="19" t="n"/>
      <c r="O61" s="19" t="n"/>
    </row>
    <row r="62">
      <c r="A62" s="17" t="n">
        <v>61</v>
      </c>
      <c r="B62" s="17" t="inlineStr">
        <is>
          <t>2 · Trees &amp; graphs</t>
        </is>
      </c>
      <c r="C62" s="17" t="inlineStr">
        <is>
          <t>Trees</t>
        </is>
      </c>
      <c r="D62" s="17" t="inlineStr">
        <is>
          <t>Lowest Common Ancestor of a BST</t>
        </is>
      </c>
      <c r="E62" s="17" t="inlineStr">
        <is>
          <t>Medium</t>
        </is>
      </c>
      <c r="F62" s="17" t="inlineStr">
        <is>
          <t>NeetCode 150</t>
        </is>
      </c>
      <c r="G62" s="18" t="n"/>
      <c r="H62" s="21" t="n"/>
      <c r="I62" s="21" t="n"/>
      <c r="J62" s="21" t="n"/>
      <c r="K62" s="17">
        <f>IF(G62="","Not started",IF(J62&lt;&gt;"","Mastered",IF(G62="Solo","Solved","Review "&amp;IF(I62&lt;&gt;"",3,IF(H62&lt;&gt;"",2,1))&amp;IF(AND(ISNUMBER(M62),M62&gt;TODAY())," scheduled"," due"))))</f>
        <v/>
      </c>
      <c r="L62" s="21"/>
      <c r="M62" s="22">
        <f>IF(OR(G62="",G62="Solo",J62&lt;&gt;"",NOT(ISNUMBER(L62))),"",MAX(L62,H62,I62)+IF(I62&lt;&gt;"",21,IF(H62&lt;&gt;"",7,3)))</f>
        <v/>
      </c>
      <c r="N62" s="19" t="n"/>
      <c r="O62" s="19" t="n"/>
    </row>
    <row r="63">
      <c r="A63" s="17" t="n">
        <v>62</v>
      </c>
      <c r="B63" s="17" t="inlineStr">
        <is>
          <t>2 · Trees &amp; graphs</t>
        </is>
      </c>
      <c r="C63" s="17" t="inlineStr">
        <is>
          <t>Trees</t>
        </is>
      </c>
      <c r="D63" s="17" t="inlineStr">
        <is>
          <t>Binary Tree Level Order Traversal</t>
        </is>
      </c>
      <c r="E63" s="17" t="inlineStr">
        <is>
          <t>Medium</t>
        </is>
      </c>
      <c r="F63" s="17" t="inlineStr">
        <is>
          <t>NeetCode 150</t>
        </is>
      </c>
      <c r="G63" s="18" t="n"/>
      <c r="H63" s="21" t="n"/>
      <c r="I63" s="21" t="n"/>
      <c r="J63" s="21" t="n"/>
      <c r="K63" s="17">
        <f>IF(G63="","Not started",IF(J63&lt;&gt;"","Mastered",IF(G63="Solo","Solved","Review "&amp;IF(I63&lt;&gt;"",3,IF(H63&lt;&gt;"",2,1))&amp;IF(AND(ISNUMBER(M63),M63&gt;TODAY())," scheduled"," due"))))</f>
        <v/>
      </c>
      <c r="L63" s="21"/>
      <c r="M63" s="22">
        <f>IF(OR(G63="",G63="Solo",J63&lt;&gt;"",NOT(ISNUMBER(L63))),"",MAX(L63,H63,I63)+IF(I63&lt;&gt;"",21,IF(H63&lt;&gt;"",7,3)))</f>
        <v/>
      </c>
      <c r="N63" s="19" t="n"/>
      <c r="O63" s="19" t="n"/>
    </row>
    <row r="64">
      <c r="A64" s="17" t="n">
        <v>63</v>
      </c>
      <c r="B64" s="17" t="inlineStr">
        <is>
          <t>2 · Trees &amp; graphs</t>
        </is>
      </c>
      <c r="C64" s="17" t="inlineStr">
        <is>
          <t>Trees</t>
        </is>
      </c>
      <c r="D64" s="17" t="inlineStr">
        <is>
          <t>Binary Tree Right Side View</t>
        </is>
      </c>
      <c r="E64" s="17" t="inlineStr">
        <is>
          <t>Medium</t>
        </is>
      </c>
      <c r="F64" s="17" t="inlineStr">
        <is>
          <t>NeetCode 150</t>
        </is>
      </c>
      <c r="G64" s="18" t="n"/>
      <c r="H64" s="21" t="n"/>
      <c r="I64" s="21" t="n"/>
      <c r="J64" s="21" t="n"/>
      <c r="K64" s="17">
        <f>IF(G64="","Not started",IF(J64&lt;&gt;"","Mastered",IF(G64="Solo","Solved","Review "&amp;IF(I64&lt;&gt;"",3,IF(H64&lt;&gt;"",2,1))&amp;IF(AND(ISNUMBER(M64),M64&gt;TODAY())," scheduled"," due"))))</f>
        <v/>
      </c>
      <c r="L64" s="21"/>
      <c r="M64" s="22">
        <f>IF(OR(G64="",G64="Solo",J64&lt;&gt;"",NOT(ISNUMBER(L64))),"",MAX(L64,H64,I64)+IF(I64&lt;&gt;"",21,IF(H64&lt;&gt;"",7,3)))</f>
        <v/>
      </c>
      <c r="N64" s="19" t="n"/>
      <c r="O64" s="19" t="n"/>
    </row>
    <row r="65">
      <c r="A65" s="17" t="n">
        <v>64</v>
      </c>
      <c r="B65" s="17" t="inlineStr">
        <is>
          <t>2 · Trees &amp; graphs</t>
        </is>
      </c>
      <c r="C65" s="17" t="inlineStr">
        <is>
          <t>Trees</t>
        </is>
      </c>
      <c r="D65" s="17" t="inlineStr">
        <is>
          <t>Count Good Nodes in Binary Tree</t>
        </is>
      </c>
      <c r="E65" s="17" t="inlineStr">
        <is>
          <t>Medium</t>
        </is>
      </c>
      <c r="F65" s="17" t="inlineStr">
        <is>
          <t>NeetCode 150</t>
        </is>
      </c>
      <c r="G65" s="18" t="n"/>
      <c r="H65" s="21" t="n"/>
      <c r="I65" s="21" t="n"/>
      <c r="J65" s="21" t="n"/>
      <c r="K65" s="17">
        <f>IF(G65="","Not started",IF(J65&lt;&gt;"","Mastered",IF(G65="Solo","Solved","Review "&amp;IF(I65&lt;&gt;"",3,IF(H65&lt;&gt;"",2,1))&amp;IF(AND(ISNUMBER(M65),M65&gt;TODAY())," scheduled"," due"))))</f>
        <v/>
      </c>
      <c r="L65" s="21"/>
      <c r="M65" s="22">
        <f>IF(OR(G65="",G65="Solo",J65&lt;&gt;"",NOT(ISNUMBER(L65))),"",MAX(L65,H65,I65)+IF(I65&lt;&gt;"",21,IF(H65&lt;&gt;"",7,3)))</f>
        <v/>
      </c>
      <c r="N65" s="19" t="n"/>
      <c r="O65" s="19" t="n"/>
    </row>
    <row r="66">
      <c r="A66" s="17" t="n">
        <v>65</v>
      </c>
      <c r="B66" s="17" t="inlineStr">
        <is>
          <t>2 · Trees &amp; graphs</t>
        </is>
      </c>
      <c r="C66" s="17" t="inlineStr">
        <is>
          <t>Trees</t>
        </is>
      </c>
      <c r="D66" s="17" t="inlineStr">
        <is>
          <t>Validate Binary Search Tree</t>
        </is>
      </c>
      <c r="E66" s="17" t="inlineStr">
        <is>
          <t>Medium</t>
        </is>
      </c>
      <c r="F66" s="17" t="inlineStr">
        <is>
          <t>NeetCode 150</t>
        </is>
      </c>
      <c r="G66" s="18" t="n"/>
      <c r="H66" s="21" t="n"/>
      <c r="I66" s="21" t="n"/>
      <c r="J66" s="21" t="n"/>
      <c r="K66" s="17">
        <f>IF(G66="","Not started",IF(J66&lt;&gt;"","Mastered",IF(G66="Solo","Solved","Review "&amp;IF(I66&lt;&gt;"",3,IF(H66&lt;&gt;"",2,1))&amp;IF(AND(ISNUMBER(M66),M66&gt;TODAY())," scheduled"," due"))))</f>
        <v/>
      </c>
      <c r="L66" s="21"/>
      <c r="M66" s="22">
        <f>IF(OR(G66="",G66="Solo",J66&lt;&gt;"",NOT(ISNUMBER(L66))),"",MAX(L66,H66,I66)+IF(I66&lt;&gt;"",21,IF(H66&lt;&gt;"",7,3)))</f>
        <v/>
      </c>
      <c r="N66" s="19" t="n"/>
      <c r="O66" s="19" t="n"/>
    </row>
    <row r="67">
      <c r="A67" s="17" t="n">
        <v>66</v>
      </c>
      <c r="B67" s="17" t="inlineStr">
        <is>
          <t>2 · Trees &amp; graphs</t>
        </is>
      </c>
      <c r="C67" s="17" t="inlineStr">
        <is>
          <t>Trees</t>
        </is>
      </c>
      <c r="D67" s="17" t="inlineStr">
        <is>
          <t>Kth Smallest Element in a BST</t>
        </is>
      </c>
      <c r="E67" s="17" t="inlineStr">
        <is>
          <t>Medium</t>
        </is>
      </c>
      <c r="F67" s="17" t="inlineStr">
        <is>
          <t>NeetCode 150</t>
        </is>
      </c>
      <c r="G67" s="18" t="n"/>
      <c r="H67" s="21" t="n"/>
      <c r="I67" s="21" t="n"/>
      <c r="J67" s="21" t="n"/>
      <c r="K67" s="17">
        <f>IF(G67="","Not started",IF(J67&lt;&gt;"","Mastered",IF(G67="Solo","Solved","Review "&amp;IF(I67&lt;&gt;"",3,IF(H67&lt;&gt;"",2,1))&amp;IF(AND(ISNUMBER(M67),M67&gt;TODAY())," scheduled"," due"))))</f>
        <v/>
      </c>
      <c r="L67" s="21"/>
      <c r="M67" s="22">
        <f>IF(OR(G67="",G67="Solo",J67&lt;&gt;"",NOT(ISNUMBER(L67))),"",MAX(L67,H67,I67)+IF(I67&lt;&gt;"",21,IF(H67&lt;&gt;"",7,3)))</f>
        <v/>
      </c>
      <c r="N67" s="19" t="n"/>
      <c r="O67" s="19" t="n"/>
    </row>
    <row r="68">
      <c r="A68" s="17" t="n">
        <v>67</v>
      </c>
      <c r="B68" s="17" t="inlineStr">
        <is>
          <t>2 · Trees &amp; graphs</t>
        </is>
      </c>
      <c r="C68" s="17" t="inlineStr">
        <is>
          <t>Trees</t>
        </is>
      </c>
      <c r="D68" s="17" t="inlineStr">
        <is>
          <t>Construct Binary Tree from Preorder and Inorder Traversal</t>
        </is>
      </c>
      <c r="E68" s="17" t="inlineStr">
        <is>
          <t>Medium</t>
        </is>
      </c>
      <c r="F68" s="17" t="inlineStr">
        <is>
          <t>NeetCode 150</t>
        </is>
      </c>
      <c r="G68" s="18" t="n"/>
      <c r="H68" s="21" t="n"/>
      <c r="I68" s="21" t="n"/>
      <c r="J68" s="21" t="n"/>
      <c r="K68" s="17">
        <f>IF(G68="","Not started",IF(J68&lt;&gt;"","Mastered",IF(G68="Solo","Solved","Review "&amp;IF(I68&lt;&gt;"",3,IF(H68&lt;&gt;"",2,1))&amp;IF(AND(ISNUMBER(M68),M68&gt;TODAY())," scheduled"," due"))))</f>
        <v/>
      </c>
      <c r="L68" s="21"/>
      <c r="M68" s="22">
        <f>IF(OR(G68="",G68="Solo",J68&lt;&gt;"",NOT(ISNUMBER(L68))),"",MAX(L68,H68,I68)+IF(I68&lt;&gt;"",21,IF(H68&lt;&gt;"",7,3)))</f>
        <v/>
      </c>
      <c r="N68" s="19" t="n"/>
      <c r="O68" s="19" t="n"/>
    </row>
    <row r="69">
      <c r="A69" s="17" t="n">
        <v>68</v>
      </c>
      <c r="B69" s="17" t="inlineStr">
        <is>
          <t>2 · Trees &amp; graphs</t>
        </is>
      </c>
      <c r="C69" s="17" t="inlineStr">
        <is>
          <t>Trees</t>
        </is>
      </c>
      <c r="D69" s="17" t="inlineStr">
        <is>
          <t>Binary Tree Maximum Path Sum</t>
        </is>
      </c>
      <c r="E69" s="17" t="inlineStr">
        <is>
          <t>Hard</t>
        </is>
      </c>
      <c r="F69" s="17" t="inlineStr">
        <is>
          <t>NeetCode 150</t>
        </is>
      </c>
      <c r="G69" s="18" t="n"/>
      <c r="H69" s="21" t="n"/>
      <c r="I69" s="21" t="n"/>
      <c r="J69" s="21" t="n"/>
      <c r="K69" s="17">
        <f>IF(G69="","Not started",IF(J69&lt;&gt;"","Mastered",IF(G69="Solo","Solved","Review "&amp;IF(I69&lt;&gt;"",3,IF(H69&lt;&gt;"",2,1))&amp;IF(AND(ISNUMBER(M69),M69&gt;TODAY())," scheduled"," due"))))</f>
        <v/>
      </c>
      <c r="L69" s="21"/>
      <c r="M69" s="22">
        <f>IF(OR(G69="",G69="Solo",J69&lt;&gt;"",NOT(ISNUMBER(L69))),"",MAX(L69,H69,I69)+IF(I69&lt;&gt;"",21,IF(H69&lt;&gt;"",7,3)))</f>
        <v/>
      </c>
      <c r="N69" s="19" t="n"/>
      <c r="O69" s="19" t="n"/>
    </row>
    <row r="70">
      <c r="A70" s="17" t="n">
        <v>69</v>
      </c>
      <c r="B70" s="17" t="inlineStr">
        <is>
          <t>2 · Trees &amp; graphs</t>
        </is>
      </c>
      <c r="C70" s="17" t="inlineStr">
        <is>
          <t>Trees</t>
        </is>
      </c>
      <c r="D70" s="17" t="inlineStr">
        <is>
          <t>Serialize and Deserialize Binary Tree</t>
        </is>
      </c>
      <c r="E70" s="17" t="inlineStr">
        <is>
          <t>Hard</t>
        </is>
      </c>
      <c r="F70" s="17" t="inlineStr">
        <is>
          <t>NeetCode 150</t>
        </is>
      </c>
      <c r="G70" s="18" t="n"/>
      <c r="H70" s="21" t="n"/>
      <c r="I70" s="21" t="n"/>
      <c r="J70" s="21" t="n"/>
      <c r="K70" s="17">
        <f>IF(G70="","Not started",IF(J70&lt;&gt;"","Mastered",IF(G70="Solo","Solved","Review "&amp;IF(I70&lt;&gt;"",3,IF(H70&lt;&gt;"",2,1))&amp;IF(AND(ISNUMBER(M70),M70&gt;TODAY())," scheduled"," due"))))</f>
        <v/>
      </c>
      <c r="L70" s="21"/>
      <c r="M70" s="22">
        <f>IF(OR(G70="",G70="Solo",J70&lt;&gt;"",NOT(ISNUMBER(L70))),"",MAX(L70,H70,I70)+IF(I70&lt;&gt;"",21,IF(H70&lt;&gt;"",7,3)))</f>
        <v/>
      </c>
      <c r="N70" s="19" t="n"/>
      <c r="O70" s="19" t="n"/>
    </row>
    <row r="71">
      <c r="A71" s="17" t="n">
        <v>70</v>
      </c>
      <c r="B71" s="17" t="inlineStr">
        <is>
          <t>2 · Trees &amp; graphs</t>
        </is>
      </c>
      <c r="C71" s="17" t="inlineStr">
        <is>
          <t>Heap / Priority Queue</t>
        </is>
      </c>
      <c r="D71" s="17" t="inlineStr">
        <is>
          <t>Kth Largest Element in a Stream</t>
        </is>
      </c>
      <c r="E71" s="17" t="inlineStr">
        <is>
          <t>Easy</t>
        </is>
      </c>
      <c r="F71" s="17" t="inlineStr">
        <is>
          <t>NeetCode 150</t>
        </is>
      </c>
      <c r="G71" s="18" t="n"/>
      <c r="H71" s="21" t="n"/>
      <c r="I71" s="21" t="n"/>
      <c r="J71" s="21" t="n"/>
      <c r="K71" s="17">
        <f>IF(G71="","Not started",IF(J71&lt;&gt;"","Mastered",IF(G71="Solo","Solved","Review "&amp;IF(I71&lt;&gt;"",3,IF(H71&lt;&gt;"",2,1))&amp;IF(AND(ISNUMBER(M71),M71&gt;TODAY())," scheduled"," due"))))</f>
        <v/>
      </c>
      <c r="L71" s="21"/>
      <c r="M71" s="22">
        <f>IF(OR(G71="",G71="Solo",J71&lt;&gt;"",NOT(ISNUMBER(L71))),"",MAX(L71,H71,I71)+IF(I71&lt;&gt;"",21,IF(H71&lt;&gt;"",7,3)))</f>
        <v/>
      </c>
      <c r="N71" s="19" t="n"/>
      <c r="O71" s="19" t="n"/>
    </row>
    <row r="72">
      <c r="A72" s="17" t="n">
        <v>71</v>
      </c>
      <c r="B72" s="17" t="inlineStr">
        <is>
          <t>2 · Trees &amp; graphs</t>
        </is>
      </c>
      <c r="C72" s="17" t="inlineStr">
        <is>
          <t>Heap / Priority Queue</t>
        </is>
      </c>
      <c r="D72" s="17" t="inlineStr">
        <is>
          <t>Last Stone Weight</t>
        </is>
      </c>
      <c r="E72" s="17" t="inlineStr">
        <is>
          <t>Easy</t>
        </is>
      </c>
      <c r="F72" s="17" t="inlineStr">
        <is>
          <t>NeetCode 150</t>
        </is>
      </c>
      <c r="G72" s="18" t="n"/>
      <c r="H72" s="21" t="n"/>
      <c r="I72" s="21" t="n"/>
      <c r="J72" s="21" t="n"/>
      <c r="K72" s="17">
        <f>IF(G72="","Not started",IF(J72&lt;&gt;"","Mastered",IF(G72="Solo","Solved","Review "&amp;IF(I72&lt;&gt;"",3,IF(H72&lt;&gt;"",2,1))&amp;IF(AND(ISNUMBER(M72),M72&gt;TODAY())," scheduled"," due"))))</f>
        <v/>
      </c>
      <c r="L72" s="21"/>
      <c r="M72" s="22">
        <f>IF(OR(G72="",G72="Solo",J72&lt;&gt;"",NOT(ISNUMBER(L72))),"",MAX(L72,H72,I72)+IF(I72&lt;&gt;"",21,IF(H72&lt;&gt;"",7,3)))</f>
        <v/>
      </c>
      <c r="N72" s="19" t="n"/>
      <c r="O72" s="19" t="n"/>
    </row>
    <row r="73">
      <c r="A73" s="17" t="n">
        <v>72</v>
      </c>
      <c r="B73" s="17" t="inlineStr">
        <is>
          <t>2 · Trees &amp; graphs</t>
        </is>
      </c>
      <c r="C73" s="17" t="inlineStr">
        <is>
          <t>Heap / Priority Queue</t>
        </is>
      </c>
      <c r="D73" s="17" t="inlineStr">
        <is>
          <t>K Closest Points to Origin</t>
        </is>
      </c>
      <c r="E73" s="17" t="inlineStr">
        <is>
          <t>Medium</t>
        </is>
      </c>
      <c r="F73" s="17" t="inlineStr">
        <is>
          <t>NeetCode 150</t>
        </is>
      </c>
      <c r="G73" s="18" t="n"/>
      <c r="H73" s="21" t="n"/>
      <c r="I73" s="21" t="n"/>
      <c r="J73" s="21" t="n"/>
      <c r="K73" s="17">
        <f>IF(G73="","Not started",IF(J73&lt;&gt;"","Mastered",IF(G73="Solo","Solved","Review "&amp;IF(I73&lt;&gt;"",3,IF(H73&lt;&gt;"",2,1))&amp;IF(AND(ISNUMBER(M73),M73&gt;TODAY())," scheduled"," due"))))</f>
        <v/>
      </c>
      <c r="L73" s="21"/>
      <c r="M73" s="22">
        <f>IF(OR(G73="",G73="Solo",J73&lt;&gt;"",NOT(ISNUMBER(L73))),"",MAX(L73,H73,I73)+IF(I73&lt;&gt;"",21,IF(H73&lt;&gt;"",7,3)))</f>
        <v/>
      </c>
      <c r="N73" s="19" t="n"/>
      <c r="O73" s="19" t="n"/>
    </row>
    <row r="74">
      <c r="A74" s="17" t="n">
        <v>73</v>
      </c>
      <c r="B74" s="17" t="inlineStr">
        <is>
          <t>2 · Trees &amp; graphs</t>
        </is>
      </c>
      <c r="C74" s="17" t="inlineStr">
        <is>
          <t>Heap / Priority Queue</t>
        </is>
      </c>
      <c r="D74" s="17" t="inlineStr">
        <is>
          <t>Kth Largest Element in an Array</t>
        </is>
      </c>
      <c r="E74" s="17" t="inlineStr">
        <is>
          <t>Medium</t>
        </is>
      </c>
      <c r="F74" s="17" t="inlineStr">
        <is>
          <t>NeetCode 150</t>
        </is>
      </c>
      <c r="G74" s="18" t="n"/>
      <c r="H74" s="21" t="n"/>
      <c r="I74" s="21" t="n"/>
      <c r="J74" s="21" t="n"/>
      <c r="K74" s="17">
        <f>IF(G74="","Not started",IF(J74&lt;&gt;"","Mastered",IF(G74="Solo","Solved","Review "&amp;IF(I74&lt;&gt;"",3,IF(H74&lt;&gt;"",2,1))&amp;IF(AND(ISNUMBER(M74),M74&gt;TODAY())," scheduled"," due"))))</f>
        <v/>
      </c>
      <c r="L74" s="21"/>
      <c r="M74" s="22">
        <f>IF(OR(G74="",G74="Solo",J74&lt;&gt;"",NOT(ISNUMBER(L74))),"",MAX(L74,H74,I74)+IF(I74&lt;&gt;"",21,IF(H74&lt;&gt;"",7,3)))</f>
        <v/>
      </c>
      <c r="N74" s="19" t="n"/>
      <c r="O74" s="19" t="n"/>
    </row>
    <row r="75">
      <c r="A75" s="17" t="n">
        <v>74</v>
      </c>
      <c r="B75" s="17" t="inlineStr">
        <is>
          <t>2 · Trees &amp; graphs</t>
        </is>
      </c>
      <c r="C75" s="17" t="inlineStr">
        <is>
          <t>Heap / Priority Queue</t>
        </is>
      </c>
      <c r="D75" s="17" t="inlineStr">
        <is>
          <t>Task Scheduler</t>
        </is>
      </c>
      <c r="E75" s="17" t="inlineStr">
        <is>
          <t>Medium</t>
        </is>
      </c>
      <c r="F75" s="17" t="inlineStr">
        <is>
          <t>NeetCode 150</t>
        </is>
      </c>
      <c r="G75" s="18" t="n"/>
      <c r="H75" s="21" t="n"/>
      <c r="I75" s="21" t="n"/>
      <c r="J75" s="21" t="n"/>
      <c r="K75" s="17">
        <f>IF(G75="","Not started",IF(J75&lt;&gt;"","Mastered",IF(G75="Solo","Solved","Review "&amp;IF(I75&lt;&gt;"",3,IF(H75&lt;&gt;"",2,1))&amp;IF(AND(ISNUMBER(M75),M75&gt;TODAY())," scheduled"," due"))))</f>
        <v/>
      </c>
      <c r="L75" s="21"/>
      <c r="M75" s="22">
        <f>IF(OR(G75="",G75="Solo",J75&lt;&gt;"",NOT(ISNUMBER(L75))),"",MAX(L75,H75,I75)+IF(I75&lt;&gt;"",21,IF(H75&lt;&gt;"",7,3)))</f>
        <v/>
      </c>
      <c r="N75" s="19" t="n"/>
      <c r="O75" s="19" t="n"/>
    </row>
    <row r="76">
      <c r="A76" s="17" t="n">
        <v>75</v>
      </c>
      <c r="B76" s="17" t="inlineStr">
        <is>
          <t>2 · Trees &amp; graphs</t>
        </is>
      </c>
      <c r="C76" s="17" t="inlineStr">
        <is>
          <t>Heap / Priority Queue</t>
        </is>
      </c>
      <c r="D76" s="17" t="inlineStr">
        <is>
          <t>Design Twitter</t>
        </is>
      </c>
      <c r="E76" s="17" t="inlineStr">
        <is>
          <t>Medium</t>
        </is>
      </c>
      <c r="F76" s="17" t="inlineStr">
        <is>
          <t>NeetCode 150</t>
        </is>
      </c>
      <c r="G76" s="18" t="n"/>
      <c r="H76" s="21" t="n"/>
      <c r="I76" s="21" t="n"/>
      <c r="J76" s="21" t="n"/>
      <c r="K76" s="17">
        <f>IF(G76="","Not started",IF(J76&lt;&gt;"","Mastered",IF(G76="Solo","Solved","Review "&amp;IF(I76&lt;&gt;"",3,IF(H76&lt;&gt;"",2,1))&amp;IF(AND(ISNUMBER(M76),M76&gt;TODAY())," scheduled"," due"))))</f>
        <v/>
      </c>
      <c r="L76" s="21"/>
      <c r="M76" s="22">
        <f>IF(OR(G76="",G76="Solo",J76&lt;&gt;"",NOT(ISNUMBER(L76))),"",MAX(L76,H76,I76)+IF(I76&lt;&gt;"",21,IF(H76&lt;&gt;"",7,3)))</f>
        <v/>
      </c>
      <c r="N76" s="19" t="n"/>
      <c r="O76" s="19" t="n"/>
    </row>
    <row r="77">
      <c r="A77" s="17" t="n">
        <v>76</v>
      </c>
      <c r="B77" s="17" t="inlineStr">
        <is>
          <t>2 · Trees &amp; graphs</t>
        </is>
      </c>
      <c r="C77" s="17" t="inlineStr">
        <is>
          <t>Heap / Priority Queue</t>
        </is>
      </c>
      <c r="D77" s="17" t="inlineStr">
        <is>
          <t>Find Median from Data Stream</t>
        </is>
      </c>
      <c r="E77" s="17" t="inlineStr">
        <is>
          <t>Hard</t>
        </is>
      </c>
      <c r="F77" s="17" t="inlineStr">
        <is>
          <t>NeetCode 150</t>
        </is>
      </c>
      <c r="G77" s="18" t="n"/>
      <c r="H77" s="21" t="n"/>
      <c r="I77" s="21" t="n"/>
      <c r="J77" s="21" t="n"/>
      <c r="K77" s="17">
        <f>IF(G77="","Not started",IF(J77&lt;&gt;"","Mastered",IF(G77="Solo","Solved","Review "&amp;IF(I77&lt;&gt;"",3,IF(H77&lt;&gt;"",2,1))&amp;IF(AND(ISNUMBER(M77),M77&gt;TODAY())," scheduled"," due"))))</f>
        <v/>
      </c>
      <c r="L77" s="21"/>
      <c r="M77" s="22">
        <f>IF(OR(G77="",G77="Solo",J77&lt;&gt;"",NOT(ISNUMBER(L77))),"",MAX(L77,H77,I77)+IF(I77&lt;&gt;"",21,IF(H77&lt;&gt;"",7,3)))</f>
        <v/>
      </c>
      <c r="N77" s="19" t="n"/>
      <c r="O77" s="19" t="n"/>
    </row>
    <row r="78">
      <c r="A78" s="17" t="n">
        <v>77</v>
      </c>
      <c r="B78" s="17" t="inlineStr">
        <is>
          <t>2 · Trees &amp; graphs</t>
        </is>
      </c>
      <c r="C78" s="17" t="inlineStr">
        <is>
          <t>Backtracking</t>
        </is>
      </c>
      <c r="D78" s="17" t="inlineStr">
        <is>
          <t>Subsets</t>
        </is>
      </c>
      <c r="E78" s="17" t="inlineStr">
        <is>
          <t>Medium</t>
        </is>
      </c>
      <c r="F78" s="17" t="inlineStr">
        <is>
          <t>NeetCode 150</t>
        </is>
      </c>
      <c r="G78" s="18" t="n"/>
      <c r="H78" s="21" t="n"/>
      <c r="I78" s="21" t="n"/>
      <c r="J78" s="21" t="n"/>
      <c r="K78" s="17">
        <f>IF(G78="","Not started",IF(J78&lt;&gt;"","Mastered",IF(G78="Solo","Solved","Review "&amp;IF(I78&lt;&gt;"",3,IF(H78&lt;&gt;"",2,1))&amp;IF(AND(ISNUMBER(M78),M78&gt;TODAY())," scheduled"," due"))))</f>
        <v/>
      </c>
      <c r="L78" s="21"/>
      <c r="M78" s="22">
        <f>IF(OR(G78="",G78="Solo",J78&lt;&gt;"",NOT(ISNUMBER(L78))),"",MAX(L78,H78,I78)+IF(I78&lt;&gt;"",21,IF(H78&lt;&gt;"",7,3)))</f>
        <v/>
      </c>
      <c r="N78" s="19" t="n"/>
      <c r="O78" s="19" t="n"/>
    </row>
    <row r="79">
      <c r="A79" s="17" t="n">
        <v>78</v>
      </c>
      <c r="B79" s="17" t="inlineStr">
        <is>
          <t>2 · Trees &amp; graphs</t>
        </is>
      </c>
      <c r="C79" s="17" t="inlineStr">
        <is>
          <t>Backtracking</t>
        </is>
      </c>
      <c r="D79" s="17" t="inlineStr">
        <is>
          <t>Combination Sum</t>
        </is>
      </c>
      <c r="E79" s="17" t="inlineStr">
        <is>
          <t>Medium</t>
        </is>
      </c>
      <c r="F79" s="17" t="inlineStr">
        <is>
          <t>NeetCode 150</t>
        </is>
      </c>
      <c r="G79" s="18" t="n"/>
      <c r="H79" s="21" t="n"/>
      <c r="I79" s="21" t="n"/>
      <c r="J79" s="21" t="n"/>
      <c r="K79" s="17">
        <f>IF(G79="","Not started",IF(J79&lt;&gt;"","Mastered",IF(G79="Solo","Solved","Review "&amp;IF(I79&lt;&gt;"",3,IF(H79&lt;&gt;"",2,1))&amp;IF(AND(ISNUMBER(M79),M79&gt;TODAY())," scheduled"," due"))))</f>
        <v/>
      </c>
      <c r="L79" s="21"/>
      <c r="M79" s="22">
        <f>IF(OR(G79="",G79="Solo",J79&lt;&gt;"",NOT(ISNUMBER(L79))),"",MAX(L79,H79,I79)+IF(I79&lt;&gt;"",21,IF(H79&lt;&gt;"",7,3)))</f>
        <v/>
      </c>
      <c r="N79" s="19" t="n"/>
      <c r="O79" s="19" t="n"/>
    </row>
    <row r="80">
      <c r="A80" s="17" t="n">
        <v>79</v>
      </c>
      <c r="B80" s="17" t="inlineStr">
        <is>
          <t>2 · Trees &amp; graphs</t>
        </is>
      </c>
      <c r="C80" s="17" t="inlineStr">
        <is>
          <t>Backtracking</t>
        </is>
      </c>
      <c r="D80" s="17" t="inlineStr">
        <is>
          <t>Combination Sum II</t>
        </is>
      </c>
      <c r="E80" s="17" t="inlineStr">
        <is>
          <t>Medium</t>
        </is>
      </c>
      <c r="F80" s="17" t="inlineStr">
        <is>
          <t>NeetCode 150</t>
        </is>
      </c>
      <c r="G80" s="18" t="n"/>
      <c r="H80" s="21" t="n"/>
      <c r="I80" s="21" t="n"/>
      <c r="J80" s="21" t="n"/>
      <c r="K80" s="17">
        <f>IF(G80="","Not started",IF(J80&lt;&gt;"","Mastered",IF(G80="Solo","Solved","Review "&amp;IF(I80&lt;&gt;"",3,IF(H80&lt;&gt;"",2,1))&amp;IF(AND(ISNUMBER(M80),M80&gt;TODAY())," scheduled"," due"))))</f>
        <v/>
      </c>
      <c r="L80" s="21"/>
      <c r="M80" s="22">
        <f>IF(OR(G80="",G80="Solo",J80&lt;&gt;"",NOT(ISNUMBER(L80))),"",MAX(L80,H80,I80)+IF(I80&lt;&gt;"",21,IF(H80&lt;&gt;"",7,3)))</f>
        <v/>
      </c>
      <c r="N80" s="19" t="n"/>
      <c r="O80" s="19" t="n"/>
    </row>
    <row r="81">
      <c r="A81" s="17" t="n">
        <v>80</v>
      </c>
      <c r="B81" s="17" t="inlineStr">
        <is>
          <t>2 · Trees &amp; graphs</t>
        </is>
      </c>
      <c r="C81" s="17" t="inlineStr">
        <is>
          <t>Backtracking</t>
        </is>
      </c>
      <c r="D81" s="17" t="inlineStr">
        <is>
          <t>Permutations</t>
        </is>
      </c>
      <c r="E81" s="17" t="inlineStr">
        <is>
          <t>Medium</t>
        </is>
      </c>
      <c r="F81" s="17" t="inlineStr">
        <is>
          <t>NeetCode 150</t>
        </is>
      </c>
      <c r="G81" s="18" t="n"/>
      <c r="H81" s="21" t="n"/>
      <c r="I81" s="21" t="n"/>
      <c r="J81" s="21" t="n"/>
      <c r="K81" s="17">
        <f>IF(G81="","Not started",IF(J81&lt;&gt;"","Mastered",IF(G81="Solo","Solved","Review "&amp;IF(I81&lt;&gt;"",3,IF(H81&lt;&gt;"",2,1))&amp;IF(AND(ISNUMBER(M81),M81&gt;TODAY())," scheduled"," due"))))</f>
        <v/>
      </c>
      <c r="L81" s="21"/>
      <c r="M81" s="22">
        <f>IF(OR(G81="",G81="Solo",J81&lt;&gt;"",NOT(ISNUMBER(L81))),"",MAX(L81,H81,I81)+IF(I81&lt;&gt;"",21,IF(H81&lt;&gt;"",7,3)))</f>
        <v/>
      </c>
      <c r="N81" s="19" t="n"/>
      <c r="O81" s="19" t="n"/>
    </row>
    <row r="82">
      <c r="A82" s="17" t="n">
        <v>81</v>
      </c>
      <c r="B82" s="17" t="inlineStr">
        <is>
          <t>2 · Trees &amp; graphs</t>
        </is>
      </c>
      <c r="C82" s="17" t="inlineStr">
        <is>
          <t>Backtracking</t>
        </is>
      </c>
      <c r="D82" s="17" t="inlineStr">
        <is>
          <t>Subsets II</t>
        </is>
      </c>
      <c r="E82" s="17" t="inlineStr">
        <is>
          <t>Medium</t>
        </is>
      </c>
      <c r="F82" s="17" t="inlineStr">
        <is>
          <t>NeetCode 150</t>
        </is>
      </c>
      <c r="G82" s="18" t="n"/>
      <c r="H82" s="21" t="n"/>
      <c r="I82" s="21" t="n"/>
      <c r="J82" s="21" t="n"/>
      <c r="K82" s="17">
        <f>IF(G82="","Not started",IF(J82&lt;&gt;"","Mastered",IF(G82="Solo","Solved","Review "&amp;IF(I82&lt;&gt;"",3,IF(H82&lt;&gt;"",2,1))&amp;IF(AND(ISNUMBER(M82),M82&gt;TODAY())," scheduled"," due"))))</f>
        <v/>
      </c>
      <c r="L82" s="21"/>
      <c r="M82" s="22">
        <f>IF(OR(G82="",G82="Solo",J82&lt;&gt;"",NOT(ISNUMBER(L82))),"",MAX(L82,H82,I82)+IF(I82&lt;&gt;"",21,IF(H82&lt;&gt;"",7,3)))</f>
        <v/>
      </c>
      <c r="N82" s="19" t="n"/>
      <c r="O82" s="19" t="n"/>
    </row>
    <row r="83">
      <c r="A83" s="17" t="n">
        <v>82</v>
      </c>
      <c r="B83" s="17" t="inlineStr">
        <is>
          <t>2 · Trees &amp; graphs</t>
        </is>
      </c>
      <c r="C83" s="17" t="inlineStr">
        <is>
          <t>Backtracking</t>
        </is>
      </c>
      <c r="D83" s="17" t="inlineStr">
        <is>
          <t>Word Search</t>
        </is>
      </c>
      <c r="E83" s="17" t="inlineStr">
        <is>
          <t>Medium</t>
        </is>
      </c>
      <c r="F83" s="17" t="inlineStr">
        <is>
          <t>NeetCode 150</t>
        </is>
      </c>
      <c r="G83" s="18" t="n"/>
      <c r="H83" s="21" t="n"/>
      <c r="I83" s="21" t="n"/>
      <c r="J83" s="21" t="n"/>
      <c r="K83" s="17">
        <f>IF(G83="","Not started",IF(J83&lt;&gt;"","Mastered",IF(G83="Solo","Solved","Review "&amp;IF(I83&lt;&gt;"",3,IF(H83&lt;&gt;"",2,1))&amp;IF(AND(ISNUMBER(M83),M83&gt;TODAY())," scheduled"," due"))))</f>
        <v/>
      </c>
      <c r="L83" s="21"/>
      <c r="M83" s="22">
        <f>IF(OR(G83="",G83="Solo",J83&lt;&gt;"",NOT(ISNUMBER(L83))),"",MAX(L83,H83,I83)+IF(I83&lt;&gt;"",21,IF(H83&lt;&gt;"",7,3)))</f>
        <v/>
      </c>
      <c r="N83" s="19" t="n"/>
      <c r="O83" s="19" t="n"/>
    </row>
    <row r="84">
      <c r="A84" s="17" t="n">
        <v>83</v>
      </c>
      <c r="B84" s="17" t="inlineStr">
        <is>
          <t>2 · Trees &amp; graphs</t>
        </is>
      </c>
      <c r="C84" s="17" t="inlineStr">
        <is>
          <t>Backtracking</t>
        </is>
      </c>
      <c r="D84" s="17" t="inlineStr">
        <is>
          <t>Palindrome Partitioning</t>
        </is>
      </c>
      <c r="E84" s="17" t="inlineStr">
        <is>
          <t>Medium</t>
        </is>
      </c>
      <c r="F84" s="17" t="inlineStr">
        <is>
          <t>NeetCode 150</t>
        </is>
      </c>
      <c r="G84" s="18" t="n"/>
      <c r="H84" s="21" t="n"/>
      <c r="I84" s="21" t="n"/>
      <c r="J84" s="21" t="n"/>
      <c r="K84" s="17">
        <f>IF(G84="","Not started",IF(J84&lt;&gt;"","Mastered",IF(G84="Solo","Solved","Review "&amp;IF(I84&lt;&gt;"",3,IF(H84&lt;&gt;"",2,1))&amp;IF(AND(ISNUMBER(M84),M84&gt;TODAY())," scheduled"," due"))))</f>
        <v/>
      </c>
      <c r="L84" s="21"/>
      <c r="M84" s="22">
        <f>IF(OR(G84="",G84="Solo",J84&lt;&gt;"",NOT(ISNUMBER(L84))),"",MAX(L84,H84,I84)+IF(I84&lt;&gt;"",21,IF(H84&lt;&gt;"",7,3)))</f>
        <v/>
      </c>
      <c r="N84" s="19" t="n"/>
      <c r="O84" s="19" t="n"/>
    </row>
    <row r="85">
      <c r="A85" s="17" t="n">
        <v>84</v>
      </c>
      <c r="B85" s="17" t="inlineStr">
        <is>
          <t>2 · Trees &amp; graphs</t>
        </is>
      </c>
      <c r="C85" s="17" t="inlineStr">
        <is>
          <t>Backtracking</t>
        </is>
      </c>
      <c r="D85" s="17" t="inlineStr">
        <is>
          <t>Letter Combinations of a Phone Number</t>
        </is>
      </c>
      <c r="E85" s="17" t="inlineStr">
        <is>
          <t>Medium</t>
        </is>
      </c>
      <c r="F85" s="17" t="inlineStr">
        <is>
          <t>NeetCode 150</t>
        </is>
      </c>
      <c r="G85" s="18" t="n"/>
      <c r="H85" s="21" t="n"/>
      <c r="I85" s="21" t="n"/>
      <c r="J85" s="21" t="n"/>
      <c r="K85" s="17">
        <f>IF(G85="","Not started",IF(J85&lt;&gt;"","Mastered",IF(G85="Solo","Solved","Review "&amp;IF(I85&lt;&gt;"",3,IF(H85&lt;&gt;"",2,1))&amp;IF(AND(ISNUMBER(M85),M85&gt;TODAY())," scheduled"," due"))))</f>
        <v/>
      </c>
      <c r="L85" s="21"/>
      <c r="M85" s="22">
        <f>IF(OR(G85="",G85="Solo",J85&lt;&gt;"",NOT(ISNUMBER(L85))),"",MAX(L85,H85,I85)+IF(I85&lt;&gt;"",21,IF(H85&lt;&gt;"",7,3)))</f>
        <v/>
      </c>
      <c r="N85" s="19" t="n"/>
      <c r="O85" s="19" t="n"/>
    </row>
    <row r="86">
      <c r="A86" s="17" t="n">
        <v>85</v>
      </c>
      <c r="B86" s="17" t="inlineStr">
        <is>
          <t>2 · Trees &amp; graphs</t>
        </is>
      </c>
      <c r="C86" s="17" t="inlineStr">
        <is>
          <t>Backtracking</t>
        </is>
      </c>
      <c r="D86" s="17" t="inlineStr">
        <is>
          <t>N-Queens</t>
        </is>
      </c>
      <c r="E86" s="17" t="inlineStr">
        <is>
          <t>Hard</t>
        </is>
      </c>
      <c r="F86" s="17" t="inlineStr">
        <is>
          <t>NeetCode 150</t>
        </is>
      </c>
      <c r="G86" s="18" t="n"/>
      <c r="H86" s="21" t="n"/>
      <c r="I86" s="21" t="n"/>
      <c r="J86" s="21" t="n"/>
      <c r="K86" s="17">
        <f>IF(G86="","Not started",IF(J86&lt;&gt;"","Mastered",IF(G86="Solo","Solved","Review "&amp;IF(I86&lt;&gt;"",3,IF(H86&lt;&gt;"",2,1))&amp;IF(AND(ISNUMBER(M86),M86&gt;TODAY())," scheduled"," due"))))</f>
        <v/>
      </c>
      <c r="L86" s="21"/>
      <c r="M86" s="22">
        <f>IF(OR(G86="",G86="Solo",J86&lt;&gt;"",NOT(ISNUMBER(L86))),"",MAX(L86,H86,I86)+IF(I86&lt;&gt;"",21,IF(H86&lt;&gt;"",7,3)))</f>
        <v/>
      </c>
      <c r="N86" s="19" t="n"/>
      <c r="O86" s="19" t="n"/>
    </row>
    <row r="87">
      <c r="A87" s="17" t="n">
        <v>86</v>
      </c>
      <c r="B87" s="17" t="inlineStr">
        <is>
          <t>2 · Trees &amp; graphs</t>
        </is>
      </c>
      <c r="C87" s="17" t="inlineStr">
        <is>
          <t>Graphs</t>
        </is>
      </c>
      <c r="D87" s="17" t="inlineStr">
        <is>
          <t>Number of Islands</t>
        </is>
      </c>
      <c r="E87" s="17" t="inlineStr">
        <is>
          <t>Medium</t>
        </is>
      </c>
      <c r="F87" s="17" t="inlineStr">
        <is>
          <t>NeetCode 150</t>
        </is>
      </c>
      <c r="G87" s="18" t="n"/>
      <c r="H87" s="21" t="n"/>
      <c r="I87" s="21" t="n"/>
      <c r="J87" s="21" t="n"/>
      <c r="K87" s="17">
        <f>IF(G87="","Not started",IF(J87&lt;&gt;"","Mastered",IF(G87="Solo","Solved","Review "&amp;IF(I87&lt;&gt;"",3,IF(H87&lt;&gt;"",2,1))&amp;IF(AND(ISNUMBER(M87),M87&gt;TODAY())," scheduled"," due"))))</f>
        <v/>
      </c>
      <c r="L87" s="21"/>
      <c r="M87" s="22">
        <f>IF(OR(G87="",G87="Solo",J87&lt;&gt;"",NOT(ISNUMBER(L87))),"",MAX(L87,H87,I87)+IF(I87&lt;&gt;"",21,IF(H87&lt;&gt;"",7,3)))</f>
        <v/>
      </c>
      <c r="N87" s="19" t="n"/>
      <c r="O87" s="19" t="n"/>
    </row>
    <row r="88">
      <c r="A88" s="17" t="n">
        <v>87</v>
      </c>
      <c r="B88" s="17" t="inlineStr">
        <is>
          <t>2 · Trees &amp; graphs</t>
        </is>
      </c>
      <c r="C88" s="17" t="inlineStr">
        <is>
          <t>Graphs</t>
        </is>
      </c>
      <c r="D88" s="17" t="inlineStr">
        <is>
          <t>Max Area of Island</t>
        </is>
      </c>
      <c r="E88" s="17" t="inlineStr">
        <is>
          <t>Medium</t>
        </is>
      </c>
      <c r="F88" s="17" t="inlineStr">
        <is>
          <t>NeetCode 150</t>
        </is>
      </c>
      <c r="G88" s="18" t="n"/>
      <c r="H88" s="21" t="n"/>
      <c r="I88" s="21" t="n"/>
      <c r="J88" s="21" t="n"/>
      <c r="K88" s="17">
        <f>IF(G88="","Not started",IF(J88&lt;&gt;"","Mastered",IF(G88="Solo","Solved","Review "&amp;IF(I88&lt;&gt;"",3,IF(H88&lt;&gt;"",2,1))&amp;IF(AND(ISNUMBER(M88),M88&gt;TODAY())," scheduled"," due"))))</f>
        <v/>
      </c>
      <c r="L88" s="21"/>
      <c r="M88" s="22">
        <f>IF(OR(G88="",G88="Solo",J88&lt;&gt;"",NOT(ISNUMBER(L88))),"",MAX(L88,H88,I88)+IF(I88&lt;&gt;"",21,IF(H88&lt;&gt;"",7,3)))</f>
        <v/>
      </c>
      <c r="N88" s="19" t="n"/>
      <c r="O88" s="19" t="n"/>
    </row>
    <row r="89">
      <c r="A89" s="17" t="n">
        <v>88</v>
      </c>
      <c r="B89" s="17" t="inlineStr">
        <is>
          <t>2 · Trees &amp; graphs</t>
        </is>
      </c>
      <c r="C89" s="17" t="inlineStr">
        <is>
          <t>Graphs</t>
        </is>
      </c>
      <c r="D89" s="17" t="inlineStr">
        <is>
          <t>Clone Graph</t>
        </is>
      </c>
      <c r="E89" s="17" t="inlineStr">
        <is>
          <t>Medium</t>
        </is>
      </c>
      <c r="F89" s="17" t="inlineStr">
        <is>
          <t>NeetCode 150</t>
        </is>
      </c>
      <c r="G89" s="18" t="n"/>
      <c r="H89" s="21" t="n"/>
      <c r="I89" s="21" t="n"/>
      <c r="J89" s="21" t="n"/>
      <c r="K89" s="17">
        <f>IF(G89="","Not started",IF(J89&lt;&gt;"","Mastered",IF(G89="Solo","Solved","Review "&amp;IF(I89&lt;&gt;"",3,IF(H89&lt;&gt;"",2,1))&amp;IF(AND(ISNUMBER(M89),M89&gt;TODAY())," scheduled"," due"))))</f>
        <v/>
      </c>
      <c r="L89" s="21"/>
      <c r="M89" s="22">
        <f>IF(OR(G89="",G89="Solo",J89&lt;&gt;"",NOT(ISNUMBER(L89))),"",MAX(L89,H89,I89)+IF(I89&lt;&gt;"",21,IF(H89&lt;&gt;"",7,3)))</f>
        <v/>
      </c>
      <c r="N89" s="19" t="n"/>
      <c r="O89" s="19" t="n"/>
    </row>
    <row r="90">
      <c r="A90" s="17" t="n">
        <v>89</v>
      </c>
      <c r="B90" s="17" t="inlineStr">
        <is>
          <t>2 · Trees &amp; graphs</t>
        </is>
      </c>
      <c r="C90" s="17" t="inlineStr">
        <is>
          <t>Graphs</t>
        </is>
      </c>
      <c r="D90" s="17" t="inlineStr">
        <is>
          <t>Walls and Gates</t>
        </is>
      </c>
      <c r="E90" s="17" t="inlineStr">
        <is>
          <t>Medium</t>
        </is>
      </c>
      <c r="F90" s="17" t="inlineStr">
        <is>
          <t>NeetCode 150</t>
        </is>
      </c>
      <c r="G90" s="18" t="n"/>
      <c r="H90" s="21" t="n"/>
      <c r="I90" s="21" t="n"/>
      <c r="J90" s="21" t="n"/>
      <c r="K90" s="17">
        <f>IF(G90="","Not started",IF(J90&lt;&gt;"","Mastered",IF(G90="Solo","Solved","Review "&amp;IF(I90&lt;&gt;"",3,IF(H90&lt;&gt;"",2,1))&amp;IF(AND(ISNUMBER(M90),M90&gt;TODAY())," scheduled"," due"))))</f>
        <v/>
      </c>
      <c r="L90" s="21"/>
      <c r="M90" s="22">
        <f>IF(OR(G90="",G90="Solo",J90&lt;&gt;"",NOT(ISNUMBER(L90))),"",MAX(L90,H90,I90)+IF(I90&lt;&gt;"",21,IF(H90&lt;&gt;"",7,3)))</f>
        <v/>
      </c>
      <c r="N90" s="19" t="n"/>
      <c r="O90" s="19" t="n"/>
    </row>
    <row r="91">
      <c r="A91" s="17" t="n">
        <v>90</v>
      </c>
      <c r="B91" s="17" t="inlineStr">
        <is>
          <t>2 · Trees &amp; graphs</t>
        </is>
      </c>
      <c r="C91" s="17" t="inlineStr">
        <is>
          <t>Graphs</t>
        </is>
      </c>
      <c r="D91" s="17" t="inlineStr">
        <is>
          <t>Rotting Oranges</t>
        </is>
      </c>
      <c r="E91" s="17" t="inlineStr">
        <is>
          <t>Medium</t>
        </is>
      </c>
      <c r="F91" s="17" t="inlineStr">
        <is>
          <t>NeetCode 150</t>
        </is>
      </c>
      <c r="G91" s="18" t="n"/>
      <c r="H91" s="21" t="n"/>
      <c r="I91" s="21" t="n"/>
      <c r="J91" s="21" t="n"/>
      <c r="K91" s="17">
        <f>IF(G91="","Not started",IF(J91&lt;&gt;"","Mastered",IF(G91="Solo","Solved","Review "&amp;IF(I91&lt;&gt;"",3,IF(H91&lt;&gt;"",2,1))&amp;IF(AND(ISNUMBER(M91),M91&gt;TODAY())," scheduled"," due"))))</f>
        <v/>
      </c>
      <c r="L91" s="21"/>
      <c r="M91" s="22">
        <f>IF(OR(G91="",G91="Solo",J91&lt;&gt;"",NOT(ISNUMBER(L91))),"",MAX(L91,H91,I91)+IF(I91&lt;&gt;"",21,IF(H91&lt;&gt;"",7,3)))</f>
        <v/>
      </c>
      <c r="N91" s="19" t="n"/>
      <c r="O91" s="19" t="n"/>
    </row>
    <row r="92">
      <c r="A92" s="17" t="n">
        <v>91</v>
      </c>
      <c r="B92" s="17" t="inlineStr">
        <is>
          <t>2 · Trees &amp; graphs</t>
        </is>
      </c>
      <c r="C92" s="17" t="inlineStr">
        <is>
          <t>Graphs</t>
        </is>
      </c>
      <c r="D92" s="17" t="inlineStr">
        <is>
          <t>Pacific Atlantic Water Flow</t>
        </is>
      </c>
      <c r="E92" s="17" t="inlineStr">
        <is>
          <t>Medium</t>
        </is>
      </c>
      <c r="F92" s="17" t="inlineStr">
        <is>
          <t>NeetCode 150</t>
        </is>
      </c>
      <c r="G92" s="18" t="n"/>
      <c r="H92" s="21" t="n"/>
      <c r="I92" s="21" t="n"/>
      <c r="J92" s="21" t="n"/>
      <c r="K92" s="17">
        <f>IF(G92="","Not started",IF(J92&lt;&gt;"","Mastered",IF(G92="Solo","Solved","Review "&amp;IF(I92&lt;&gt;"",3,IF(H92&lt;&gt;"",2,1))&amp;IF(AND(ISNUMBER(M92),M92&gt;TODAY())," scheduled"," due"))))</f>
        <v/>
      </c>
      <c r="L92" s="21"/>
      <c r="M92" s="22">
        <f>IF(OR(G92="",G92="Solo",J92&lt;&gt;"",NOT(ISNUMBER(L92))),"",MAX(L92,H92,I92)+IF(I92&lt;&gt;"",21,IF(H92&lt;&gt;"",7,3)))</f>
        <v/>
      </c>
      <c r="N92" s="19" t="n"/>
      <c r="O92" s="19" t="n"/>
    </row>
    <row r="93">
      <c r="A93" s="17" t="n">
        <v>92</v>
      </c>
      <c r="B93" s="17" t="inlineStr">
        <is>
          <t>2 · Trees &amp; graphs</t>
        </is>
      </c>
      <c r="C93" s="17" t="inlineStr">
        <is>
          <t>Graphs</t>
        </is>
      </c>
      <c r="D93" s="17" t="inlineStr">
        <is>
          <t>Surrounded Regions</t>
        </is>
      </c>
      <c r="E93" s="17" t="inlineStr">
        <is>
          <t>Medium</t>
        </is>
      </c>
      <c r="F93" s="17" t="inlineStr">
        <is>
          <t>NeetCode 150</t>
        </is>
      </c>
      <c r="G93" s="18" t="n"/>
      <c r="H93" s="21" t="n"/>
      <c r="I93" s="21" t="n"/>
      <c r="J93" s="21" t="n"/>
      <c r="K93" s="17">
        <f>IF(G93="","Not started",IF(J93&lt;&gt;"","Mastered",IF(G93="Solo","Solved","Review "&amp;IF(I93&lt;&gt;"",3,IF(H93&lt;&gt;"",2,1))&amp;IF(AND(ISNUMBER(M93),M93&gt;TODAY())," scheduled"," due"))))</f>
        <v/>
      </c>
      <c r="L93" s="21"/>
      <c r="M93" s="22">
        <f>IF(OR(G93="",G93="Solo",J93&lt;&gt;"",NOT(ISNUMBER(L93))),"",MAX(L93,H93,I93)+IF(I93&lt;&gt;"",21,IF(H93&lt;&gt;"",7,3)))</f>
        <v/>
      </c>
      <c r="N93" s="19" t="n"/>
      <c r="O93" s="19" t="n"/>
    </row>
    <row r="94">
      <c r="A94" s="17" t="n">
        <v>93</v>
      </c>
      <c r="B94" s="17" t="inlineStr">
        <is>
          <t>2 · Trees &amp; graphs</t>
        </is>
      </c>
      <c r="C94" s="17" t="inlineStr">
        <is>
          <t>Graphs</t>
        </is>
      </c>
      <c r="D94" s="17" t="inlineStr">
        <is>
          <t>Course Schedule</t>
        </is>
      </c>
      <c r="E94" s="17" t="inlineStr">
        <is>
          <t>Medium</t>
        </is>
      </c>
      <c r="F94" s="17" t="inlineStr">
        <is>
          <t>NeetCode 150</t>
        </is>
      </c>
      <c r="G94" s="18" t="n"/>
      <c r="H94" s="21" t="n"/>
      <c r="I94" s="21" t="n"/>
      <c r="J94" s="21" t="n"/>
      <c r="K94" s="17">
        <f>IF(G94="","Not started",IF(J94&lt;&gt;"","Mastered",IF(G94="Solo","Solved","Review "&amp;IF(I94&lt;&gt;"",3,IF(H94&lt;&gt;"",2,1))&amp;IF(AND(ISNUMBER(M94),M94&gt;TODAY())," scheduled"," due"))))</f>
        <v/>
      </c>
      <c r="L94" s="21"/>
      <c r="M94" s="22">
        <f>IF(OR(G94="",G94="Solo",J94&lt;&gt;"",NOT(ISNUMBER(L94))),"",MAX(L94,H94,I94)+IF(I94&lt;&gt;"",21,IF(H94&lt;&gt;"",7,3)))</f>
        <v/>
      </c>
      <c r="N94" s="19" t="n"/>
      <c r="O94" s="19" t="n"/>
    </row>
    <row r="95">
      <c r="A95" s="17" t="n">
        <v>94</v>
      </c>
      <c r="B95" s="17" t="inlineStr">
        <is>
          <t>2 · Trees &amp; graphs</t>
        </is>
      </c>
      <c r="C95" s="17" t="inlineStr">
        <is>
          <t>Graphs</t>
        </is>
      </c>
      <c r="D95" s="17" t="inlineStr">
        <is>
          <t>Course Schedule II</t>
        </is>
      </c>
      <c r="E95" s="17" t="inlineStr">
        <is>
          <t>Medium</t>
        </is>
      </c>
      <c r="F95" s="17" t="inlineStr">
        <is>
          <t>NeetCode 150</t>
        </is>
      </c>
      <c r="G95" s="18" t="n"/>
      <c r="H95" s="21" t="n"/>
      <c r="I95" s="21" t="n"/>
      <c r="J95" s="21" t="n"/>
      <c r="K95" s="17">
        <f>IF(G95="","Not started",IF(J95&lt;&gt;"","Mastered",IF(G95="Solo","Solved","Review "&amp;IF(I95&lt;&gt;"",3,IF(H95&lt;&gt;"",2,1))&amp;IF(AND(ISNUMBER(M95),M95&gt;TODAY())," scheduled"," due"))))</f>
        <v/>
      </c>
      <c r="L95" s="21"/>
      <c r="M95" s="22">
        <f>IF(OR(G95="",G95="Solo",J95&lt;&gt;"",NOT(ISNUMBER(L95))),"",MAX(L95,H95,I95)+IF(I95&lt;&gt;"",21,IF(H95&lt;&gt;"",7,3)))</f>
        <v/>
      </c>
      <c r="N95" s="19" t="n"/>
      <c r="O95" s="19" t="n"/>
    </row>
    <row r="96">
      <c r="A96" s="17" t="n">
        <v>95</v>
      </c>
      <c r="B96" s="17" t="inlineStr">
        <is>
          <t>2 · Trees &amp; graphs</t>
        </is>
      </c>
      <c r="C96" s="17" t="inlineStr">
        <is>
          <t>Graphs</t>
        </is>
      </c>
      <c r="D96" s="17" t="inlineStr">
        <is>
          <t>Graph Valid Tree</t>
        </is>
      </c>
      <c r="E96" s="17" t="inlineStr">
        <is>
          <t>Medium</t>
        </is>
      </c>
      <c r="F96" s="17" t="inlineStr">
        <is>
          <t>NeetCode 150</t>
        </is>
      </c>
      <c r="G96" s="18" t="n"/>
      <c r="H96" s="21" t="n"/>
      <c r="I96" s="21" t="n"/>
      <c r="J96" s="21" t="n"/>
      <c r="K96" s="17">
        <f>IF(G96="","Not started",IF(J96&lt;&gt;"","Mastered",IF(G96="Solo","Solved","Review "&amp;IF(I96&lt;&gt;"",3,IF(H96&lt;&gt;"",2,1))&amp;IF(AND(ISNUMBER(M96),M96&gt;TODAY())," scheduled"," due"))))</f>
        <v/>
      </c>
      <c r="L96" s="21"/>
      <c r="M96" s="22">
        <f>IF(OR(G96="",G96="Solo",J96&lt;&gt;"",NOT(ISNUMBER(L96))),"",MAX(L96,H96,I96)+IF(I96&lt;&gt;"",21,IF(H96&lt;&gt;"",7,3)))</f>
        <v/>
      </c>
      <c r="N96" s="19" t="n"/>
      <c r="O96" s="19" t="n"/>
    </row>
    <row r="97">
      <c r="A97" s="17" t="n">
        <v>96</v>
      </c>
      <c r="B97" s="17" t="inlineStr">
        <is>
          <t>2 · Trees &amp; graphs</t>
        </is>
      </c>
      <c r="C97" s="17" t="inlineStr">
        <is>
          <t>Graphs</t>
        </is>
      </c>
      <c r="D97" s="17" t="inlineStr">
        <is>
          <t>Number of Connected Components in an Undirected Graph</t>
        </is>
      </c>
      <c r="E97" s="17" t="inlineStr">
        <is>
          <t>Medium</t>
        </is>
      </c>
      <c r="F97" s="17" t="inlineStr">
        <is>
          <t>NeetCode 150</t>
        </is>
      </c>
      <c r="G97" s="18" t="n"/>
      <c r="H97" s="21" t="n"/>
      <c r="I97" s="21" t="n"/>
      <c r="J97" s="21" t="n"/>
      <c r="K97" s="17">
        <f>IF(G97="","Not started",IF(J97&lt;&gt;"","Mastered",IF(G97="Solo","Solved","Review "&amp;IF(I97&lt;&gt;"",3,IF(H97&lt;&gt;"",2,1))&amp;IF(AND(ISNUMBER(M97),M97&gt;TODAY())," scheduled"," due"))))</f>
        <v/>
      </c>
      <c r="L97" s="21"/>
      <c r="M97" s="22">
        <f>IF(OR(G97="",G97="Solo",J97&lt;&gt;"",NOT(ISNUMBER(L97))),"",MAX(L97,H97,I97)+IF(I97&lt;&gt;"",21,IF(H97&lt;&gt;"",7,3)))</f>
        <v/>
      </c>
      <c r="N97" s="19" t="n"/>
      <c r="O97" s="19" t="n"/>
    </row>
    <row r="98">
      <c r="A98" s="17" t="n">
        <v>97</v>
      </c>
      <c r="B98" s="17" t="inlineStr">
        <is>
          <t>2 · Trees &amp; graphs</t>
        </is>
      </c>
      <c r="C98" s="17" t="inlineStr">
        <is>
          <t>Graphs</t>
        </is>
      </c>
      <c r="D98" s="17" t="inlineStr">
        <is>
          <t>Redundant Connection</t>
        </is>
      </c>
      <c r="E98" s="17" t="inlineStr">
        <is>
          <t>Medium</t>
        </is>
      </c>
      <c r="F98" s="17" t="inlineStr">
        <is>
          <t>NeetCode 150</t>
        </is>
      </c>
      <c r="G98" s="18" t="n"/>
      <c r="H98" s="21" t="n"/>
      <c r="I98" s="21" t="n"/>
      <c r="J98" s="21" t="n"/>
      <c r="K98" s="17">
        <f>IF(G98="","Not started",IF(J98&lt;&gt;"","Mastered",IF(G98="Solo","Solved","Review "&amp;IF(I98&lt;&gt;"",3,IF(H98&lt;&gt;"",2,1))&amp;IF(AND(ISNUMBER(M98),M98&gt;TODAY())," scheduled"," due"))))</f>
        <v/>
      </c>
      <c r="L98" s="21"/>
      <c r="M98" s="22">
        <f>IF(OR(G98="",G98="Solo",J98&lt;&gt;"",NOT(ISNUMBER(L98))),"",MAX(L98,H98,I98)+IF(I98&lt;&gt;"",21,IF(H98&lt;&gt;"",7,3)))</f>
        <v/>
      </c>
      <c r="N98" s="19" t="n"/>
      <c r="O98" s="19" t="n"/>
    </row>
    <row r="99">
      <c r="A99" s="17" t="n">
        <v>98</v>
      </c>
      <c r="B99" s="17" t="inlineStr">
        <is>
          <t>2 · Trees &amp; graphs</t>
        </is>
      </c>
      <c r="C99" s="17" t="inlineStr">
        <is>
          <t>Graphs</t>
        </is>
      </c>
      <c r="D99" s="17" t="inlineStr">
        <is>
          <t>Word Ladder</t>
        </is>
      </c>
      <c r="E99" s="17" t="inlineStr">
        <is>
          <t>Hard</t>
        </is>
      </c>
      <c r="F99" s="17" t="inlineStr">
        <is>
          <t>NeetCode 150</t>
        </is>
      </c>
      <c r="G99" s="18" t="n"/>
      <c r="H99" s="21" t="n"/>
      <c r="I99" s="21" t="n"/>
      <c r="J99" s="21" t="n"/>
      <c r="K99" s="17">
        <f>IF(G99="","Not started",IF(J99&lt;&gt;"","Mastered",IF(G99="Solo","Solved","Review "&amp;IF(I99&lt;&gt;"",3,IF(H99&lt;&gt;"",2,1))&amp;IF(AND(ISNUMBER(M99),M99&gt;TODAY())," scheduled"," due"))))</f>
        <v/>
      </c>
      <c r="L99" s="21"/>
      <c r="M99" s="22">
        <f>IF(OR(G99="",G99="Solo",J99&lt;&gt;"",NOT(ISNUMBER(L99))),"",MAX(L99,H99,I99)+IF(I99&lt;&gt;"",21,IF(H99&lt;&gt;"",7,3)))</f>
        <v/>
      </c>
      <c r="N99" s="19" t="n"/>
      <c r="O99" s="19" t="n"/>
    </row>
    <row r="100">
      <c r="A100" s="17" t="n">
        <v>99</v>
      </c>
      <c r="B100" s="17" t="inlineStr">
        <is>
          <t>2 · Trees &amp; graphs</t>
        </is>
      </c>
      <c r="C100" s="17" t="inlineStr">
        <is>
          <t>Advanced Graphs</t>
        </is>
      </c>
      <c r="D100" s="17" t="inlineStr">
        <is>
          <t>Network Delay Time</t>
        </is>
      </c>
      <c r="E100" s="17" t="inlineStr">
        <is>
          <t>Medium</t>
        </is>
      </c>
      <c r="F100" s="17" t="inlineStr">
        <is>
          <t>NeetCode 150</t>
        </is>
      </c>
      <c r="G100" s="18" t="n"/>
      <c r="H100" s="21" t="n"/>
      <c r="I100" s="21" t="n"/>
      <c r="J100" s="21" t="n"/>
      <c r="K100" s="17">
        <f>IF(G100="","Not started",IF(J100&lt;&gt;"","Mastered",IF(G100="Solo","Solved","Review "&amp;IF(I100&lt;&gt;"",3,IF(H100&lt;&gt;"",2,1))&amp;IF(AND(ISNUMBER(M100),M100&gt;TODAY())," scheduled"," due"))))</f>
        <v/>
      </c>
      <c r="L100" s="21"/>
      <c r="M100" s="22">
        <f>IF(OR(G100="",G100="Solo",J100&lt;&gt;"",NOT(ISNUMBER(L100))),"",MAX(L100,H100,I100)+IF(I100&lt;&gt;"",21,IF(H100&lt;&gt;"",7,3)))</f>
        <v/>
      </c>
      <c r="N100" s="19" t="n"/>
      <c r="O100" s="19" t="n"/>
    </row>
    <row r="101">
      <c r="A101" s="17" t="n">
        <v>100</v>
      </c>
      <c r="B101" s="17" t="inlineStr">
        <is>
          <t>2 · Trees &amp; graphs</t>
        </is>
      </c>
      <c r="C101" s="17" t="inlineStr">
        <is>
          <t>Advanced Graphs</t>
        </is>
      </c>
      <c r="D101" s="17" t="inlineStr">
        <is>
          <t>Min Cost to Connect All Points</t>
        </is>
      </c>
      <c r="E101" s="17" t="inlineStr">
        <is>
          <t>Medium</t>
        </is>
      </c>
      <c r="F101" s="17" t="inlineStr">
        <is>
          <t>NeetCode 150</t>
        </is>
      </c>
      <c r="G101" s="18" t="n"/>
      <c r="H101" s="21" t="n"/>
      <c r="I101" s="21" t="n"/>
      <c r="J101" s="21" t="n"/>
      <c r="K101" s="17">
        <f>IF(G101="","Not started",IF(J101&lt;&gt;"","Mastered",IF(G101="Solo","Solved","Review "&amp;IF(I101&lt;&gt;"",3,IF(H101&lt;&gt;"",2,1))&amp;IF(AND(ISNUMBER(M101),M101&gt;TODAY())," scheduled"," due"))))</f>
        <v/>
      </c>
      <c r="L101" s="21"/>
      <c r="M101" s="22">
        <f>IF(OR(G101="",G101="Solo",J101&lt;&gt;"",NOT(ISNUMBER(L101))),"",MAX(L101,H101,I101)+IF(I101&lt;&gt;"",21,IF(H101&lt;&gt;"",7,3)))</f>
        <v/>
      </c>
      <c r="N101" s="19" t="n"/>
      <c r="O101" s="19" t="n"/>
    </row>
    <row r="102">
      <c r="A102" s="17" t="n">
        <v>101</v>
      </c>
      <c r="B102" s="17" t="inlineStr">
        <is>
          <t>2 · Trees &amp; graphs</t>
        </is>
      </c>
      <c r="C102" s="17" t="inlineStr">
        <is>
          <t>Advanced Graphs</t>
        </is>
      </c>
      <c r="D102" s="17" t="inlineStr">
        <is>
          <t>Cheapest Flights Within K Stops</t>
        </is>
      </c>
      <c r="E102" s="17" t="inlineStr">
        <is>
          <t>Medium</t>
        </is>
      </c>
      <c r="F102" s="17" t="inlineStr">
        <is>
          <t>NeetCode 150</t>
        </is>
      </c>
      <c r="G102" s="18" t="n"/>
      <c r="H102" s="21" t="n"/>
      <c r="I102" s="21" t="n"/>
      <c r="J102" s="21" t="n"/>
      <c r="K102" s="17">
        <f>IF(G102="","Not started",IF(J102&lt;&gt;"","Mastered",IF(G102="Solo","Solved","Review "&amp;IF(I102&lt;&gt;"",3,IF(H102&lt;&gt;"",2,1))&amp;IF(AND(ISNUMBER(M102),M102&gt;TODAY())," scheduled"," due"))))</f>
        <v/>
      </c>
      <c r="L102" s="21"/>
      <c r="M102" s="22">
        <f>IF(OR(G102="",G102="Solo",J102&lt;&gt;"",NOT(ISNUMBER(L102))),"",MAX(L102,H102,I102)+IF(I102&lt;&gt;"",21,IF(H102&lt;&gt;"",7,3)))</f>
        <v/>
      </c>
      <c r="N102" s="19" t="n"/>
      <c r="O102" s="19" t="n"/>
    </row>
    <row r="103">
      <c r="A103" s="17" t="n">
        <v>102</v>
      </c>
      <c r="B103" s="17" t="inlineStr">
        <is>
          <t>2 · Trees &amp; graphs</t>
        </is>
      </c>
      <c r="C103" s="17" t="inlineStr">
        <is>
          <t>Advanced Graphs</t>
        </is>
      </c>
      <c r="D103" s="17" t="inlineStr">
        <is>
          <t>Reconstruct Itinerary</t>
        </is>
      </c>
      <c r="E103" s="17" t="inlineStr">
        <is>
          <t>Hard</t>
        </is>
      </c>
      <c r="F103" s="17" t="inlineStr">
        <is>
          <t>NeetCode 150</t>
        </is>
      </c>
      <c r="G103" s="18" t="n"/>
      <c r="H103" s="21" t="n"/>
      <c r="I103" s="21" t="n"/>
      <c r="J103" s="21" t="n"/>
      <c r="K103" s="17">
        <f>IF(G103="","Not started",IF(J103&lt;&gt;"","Mastered",IF(G103="Solo","Solved","Review "&amp;IF(I103&lt;&gt;"",3,IF(H103&lt;&gt;"",2,1))&amp;IF(AND(ISNUMBER(M103),M103&gt;TODAY())," scheduled"," due"))))</f>
        <v/>
      </c>
      <c r="L103" s="21"/>
      <c r="M103" s="22">
        <f>IF(OR(G103="",G103="Solo",J103&lt;&gt;"",NOT(ISNUMBER(L103))),"",MAX(L103,H103,I103)+IF(I103&lt;&gt;"",21,IF(H103&lt;&gt;"",7,3)))</f>
        <v/>
      </c>
      <c r="N103" s="19" t="n"/>
      <c r="O103" s="19" t="n"/>
    </row>
    <row r="104">
      <c r="A104" s="17" t="n">
        <v>103</v>
      </c>
      <c r="B104" s="17" t="inlineStr">
        <is>
          <t>2 · Trees &amp; graphs</t>
        </is>
      </c>
      <c r="C104" s="17" t="inlineStr">
        <is>
          <t>Advanced Graphs</t>
        </is>
      </c>
      <c r="D104" s="17" t="inlineStr">
        <is>
          <t>Swim in Rising Water</t>
        </is>
      </c>
      <c r="E104" s="17" t="inlineStr">
        <is>
          <t>Hard</t>
        </is>
      </c>
      <c r="F104" s="17" t="inlineStr">
        <is>
          <t>NeetCode 150</t>
        </is>
      </c>
      <c r="G104" s="18" t="n"/>
      <c r="H104" s="21" t="n"/>
      <c r="I104" s="21" t="n"/>
      <c r="J104" s="21" t="n"/>
      <c r="K104" s="17">
        <f>IF(G104="","Not started",IF(J104&lt;&gt;"","Mastered",IF(G104="Solo","Solved","Review "&amp;IF(I104&lt;&gt;"",3,IF(H104&lt;&gt;"",2,1))&amp;IF(AND(ISNUMBER(M104),M104&gt;TODAY())," scheduled"," due"))))</f>
        <v/>
      </c>
      <c r="L104" s="21"/>
      <c r="M104" s="22">
        <f>IF(OR(G104="",G104="Solo",J104&lt;&gt;"",NOT(ISNUMBER(L104))),"",MAX(L104,H104,I104)+IF(I104&lt;&gt;"",21,IF(H104&lt;&gt;"",7,3)))</f>
        <v/>
      </c>
      <c r="N104" s="19" t="n"/>
      <c r="O104" s="19" t="n"/>
    </row>
    <row r="105">
      <c r="A105" s="17" t="n">
        <v>104</v>
      </c>
      <c r="B105" s="17" t="inlineStr">
        <is>
          <t>2 · Trees &amp; graphs</t>
        </is>
      </c>
      <c r="C105" s="17" t="inlineStr">
        <is>
          <t>Advanced Graphs</t>
        </is>
      </c>
      <c r="D105" s="17" t="inlineStr">
        <is>
          <t>Alien Dictionary</t>
        </is>
      </c>
      <c r="E105" s="17" t="inlineStr">
        <is>
          <t>Hard</t>
        </is>
      </c>
      <c r="F105" s="17" t="inlineStr">
        <is>
          <t>NeetCode 150</t>
        </is>
      </c>
      <c r="G105" s="18" t="n"/>
      <c r="H105" s="21" t="n"/>
      <c r="I105" s="21" t="n"/>
      <c r="J105" s="21" t="n"/>
      <c r="K105" s="17">
        <f>IF(G105="","Not started",IF(J105&lt;&gt;"","Mastered",IF(G105="Solo","Solved","Review "&amp;IF(I105&lt;&gt;"",3,IF(H105&lt;&gt;"",2,1))&amp;IF(AND(ISNUMBER(M105),M105&gt;TODAY())," scheduled"," due"))))</f>
        <v/>
      </c>
      <c r="L105" s="21"/>
      <c r="M105" s="22">
        <f>IF(OR(G105="",G105="Solo",J105&lt;&gt;"",NOT(ISNUMBER(L105))),"",MAX(L105,H105,I105)+IF(I105&lt;&gt;"",21,IF(H105&lt;&gt;"",7,3)))</f>
        <v/>
      </c>
      <c r="N105" s="19" t="n"/>
      <c r="O105" s="19" t="n"/>
    </row>
    <row r="106">
      <c r="A106" s="17" t="n">
        <v>105</v>
      </c>
      <c r="B106" s="17" t="inlineStr">
        <is>
          <t>2 · Trees &amp; graphs</t>
        </is>
      </c>
      <c r="C106" s="17" t="inlineStr">
        <is>
          <t>Greedy</t>
        </is>
      </c>
      <c r="D106" s="17" t="inlineStr">
        <is>
          <t>Maximum Subarray</t>
        </is>
      </c>
      <c r="E106" s="17" t="inlineStr">
        <is>
          <t>Medium</t>
        </is>
      </c>
      <c r="F106" s="17" t="inlineStr">
        <is>
          <t>NeetCode 150</t>
        </is>
      </c>
      <c r="G106" s="18" t="n"/>
      <c r="H106" s="21" t="n"/>
      <c r="I106" s="21" t="n"/>
      <c r="J106" s="21" t="n"/>
      <c r="K106" s="17">
        <f>IF(G106="","Not started",IF(J106&lt;&gt;"","Mastered",IF(G106="Solo","Solved","Review "&amp;IF(I106&lt;&gt;"",3,IF(H106&lt;&gt;"",2,1))&amp;IF(AND(ISNUMBER(M106),M106&gt;TODAY())," scheduled"," due"))))</f>
        <v/>
      </c>
      <c r="L106" s="21"/>
      <c r="M106" s="22">
        <f>IF(OR(G106="",G106="Solo",J106&lt;&gt;"",NOT(ISNUMBER(L106))),"",MAX(L106,H106,I106)+IF(I106&lt;&gt;"",21,IF(H106&lt;&gt;"",7,3)))</f>
        <v/>
      </c>
      <c r="N106" s="19" t="n"/>
      <c r="O106" s="19" t="n"/>
    </row>
    <row r="107">
      <c r="A107" s="17" t="n">
        <v>106</v>
      </c>
      <c r="B107" s="17" t="inlineStr">
        <is>
          <t>2 · Trees &amp; graphs</t>
        </is>
      </c>
      <c r="C107" s="17" t="inlineStr">
        <is>
          <t>Greedy</t>
        </is>
      </c>
      <c r="D107" s="17" t="inlineStr">
        <is>
          <t>Jump Game</t>
        </is>
      </c>
      <c r="E107" s="17" t="inlineStr">
        <is>
          <t>Medium</t>
        </is>
      </c>
      <c r="F107" s="17" t="inlineStr">
        <is>
          <t>NeetCode 150</t>
        </is>
      </c>
      <c r="G107" s="18" t="n"/>
      <c r="H107" s="21" t="n"/>
      <c r="I107" s="21" t="n"/>
      <c r="J107" s="21" t="n"/>
      <c r="K107" s="17">
        <f>IF(G107="","Not started",IF(J107&lt;&gt;"","Mastered",IF(G107="Solo","Solved","Review "&amp;IF(I107&lt;&gt;"",3,IF(H107&lt;&gt;"",2,1))&amp;IF(AND(ISNUMBER(M107),M107&gt;TODAY())," scheduled"," due"))))</f>
        <v/>
      </c>
      <c r="L107" s="21"/>
      <c r="M107" s="22">
        <f>IF(OR(G107="",G107="Solo",J107&lt;&gt;"",NOT(ISNUMBER(L107))),"",MAX(L107,H107,I107)+IF(I107&lt;&gt;"",21,IF(H107&lt;&gt;"",7,3)))</f>
        <v/>
      </c>
      <c r="N107" s="19" t="n"/>
      <c r="O107" s="19" t="n"/>
    </row>
    <row r="108">
      <c r="A108" s="17" t="n">
        <v>107</v>
      </c>
      <c r="B108" s="17" t="inlineStr">
        <is>
          <t>2 · Trees &amp; graphs</t>
        </is>
      </c>
      <c r="C108" s="17" t="inlineStr">
        <is>
          <t>Greedy</t>
        </is>
      </c>
      <c r="D108" s="17" t="inlineStr">
        <is>
          <t>Jump Game II</t>
        </is>
      </c>
      <c r="E108" s="17" t="inlineStr">
        <is>
          <t>Medium</t>
        </is>
      </c>
      <c r="F108" s="17" t="inlineStr">
        <is>
          <t>NeetCode 150</t>
        </is>
      </c>
      <c r="G108" s="18" t="n"/>
      <c r="H108" s="21" t="n"/>
      <c r="I108" s="21" t="n"/>
      <c r="J108" s="21" t="n"/>
      <c r="K108" s="17">
        <f>IF(G108="","Not started",IF(J108&lt;&gt;"","Mastered",IF(G108="Solo","Solved","Review "&amp;IF(I108&lt;&gt;"",3,IF(H108&lt;&gt;"",2,1))&amp;IF(AND(ISNUMBER(M108),M108&gt;TODAY())," scheduled"," due"))))</f>
        <v/>
      </c>
      <c r="L108" s="21"/>
      <c r="M108" s="22">
        <f>IF(OR(G108="",G108="Solo",J108&lt;&gt;"",NOT(ISNUMBER(L108))),"",MAX(L108,H108,I108)+IF(I108&lt;&gt;"",21,IF(H108&lt;&gt;"",7,3)))</f>
        <v/>
      </c>
      <c r="N108" s="19" t="n"/>
      <c r="O108" s="19" t="n"/>
    </row>
    <row r="109">
      <c r="A109" s="17" t="n">
        <v>108</v>
      </c>
      <c r="B109" s="17" t="inlineStr">
        <is>
          <t>2 · Trees &amp; graphs</t>
        </is>
      </c>
      <c r="C109" s="17" t="inlineStr">
        <is>
          <t>Greedy</t>
        </is>
      </c>
      <c r="D109" s="17" t="inlineStr">
        <is>
          <t>Gas Station</t>
        </is>
      </c>
      <c r="E109" s="17" t="inlineStr">
        <is>
          <t>Medium</t>
        </is>
      </c>
      <c r="F109" s="17" t="inlineStr">
        <is>
          <t>NeetCode 150</t>
        </is>
      </c>
      <c r="G109" s="18" t="n"/>
      <c r="H109" s="21" t="n"/>
      <c r="I109" s="21" t="n"/>
      <c r="J109" s="21" t="n"/>
      <c r="K109" s="17">
        <f>IF(G109="","Not started",IF(J109&lt;&gt;"","Mastered",IF(G109="Solo","Solved","Review "&amp;IF(I109&lt;&gt;"",3,IF(H109&lt;&gt;"",2,1))&amp;IF(AND(ISNUMBER(M109),M109&gt;TODAY())," scheduled"," due"))))</f>
        <v/>
      </c>
      <c r="L109" s="21"/>
      <c r="M109" s="22">
        <f>IF(OR(G109="",G109="Solo",J109&lt;&gt;"",NOT(ISNUMBER(L109))),"",MAX(L109,H109,I109)+IF(I109&lt;&gt;"",21,IF(H109&lt;&gt;"",7,3)))</f>
        <v/>
      </c>
      <c r="N109" s="19" t="n"/>
      <c r="O109" s="19" t="n"/>
    </row>
    <row r="110">
      <c r="A110" s="17" t="n">
        <v>109</v>
      </c>
      <c r="B110" s="17" t="inlineStr">
        <is>
          <t>2 · Trees &amp; graphs</t>
        </is>
      </c>
      <c r="C110" s="17" t="inlineStr">
        <is>
          <t>Greedy</t>
        </is>
      </c>
      <c r="D110" s="17" t="inlineStr">
        <is>
          <t>Hand of Straights</t>
        </is>
      </c>
      <c r="E110" s="17" t="inlineStr">
        <is>
          <t>Medium</t>
        </is>
      </c>
      <c r="F110" s="17" t="inlineStr">
        <is>
          <t>NeetCode 150</t>
        </is>
      </c>
      <c r="G110" s="18" t="n"/>
      <c r="H110" s="21" t="n"/>
      <c r="I110" s="21" t="n"/>
      <c r="J110" s="21" t="n"/>
      <c r="K110" s="17">
        <f>IF(G110="","Not started",IF(J110&lt;&gt;"","Mastered",IF(G110="Solo","Solved","Review "&amp;IF(I110&lt;&gt;"",3,IF(H110&lt;&gt;"",2,1))&amp;IF(AND(ISNUMBER(M110),M110&gt;TODAY())," scheduled"," due"))))</f>
        <v/>
      </c>
      <c r="L110" s="21"/>
      <c r="M110" s="22">
        <f>IF(OR(G110="",G110="Solo",J110&lt;&gt;"",NOT(ISNUMBER(L110))),"",MAX(L110,H110,I110)+IF(I110&lt;&gt;"",21,IF(H110&lt;&gt;"",7,3)))</f>
        <v/>
      </c>
      <c r="N110" s="19" t="n"/>
      <c r="O110" s="19" t="n"/>
    </row>
    <row r="111">
      <c r="A111" s="17" t="n">
        <v>110</v>
      </c>
      <c r="B111" s="17" t="inlineStr">
        <is>
          <t>2 · Trees &amp; graphs</t>
        </is>
      </c>
      <c r="C111" s="17" t="inlineStr">
        <is>
          <t>Greedy</t>
        </is>
      </c>
      <c r="D111" s="17" t="inlineStr">
        <is>
          <t>Merge Triplets to Form Target Triplet</t>
        </is>
      </c>
      <c r="E111" s="17" t="inlineStr">
        <is>
          <t>Medium</t>
        </is>
      </c>
      <c r="F111" s="17" t="inlineStr">
        <is>
          <t>NeetCode 150</t>
        </is>
      </c>
      <c r="G111" s="18" t="n"/>
      <c r="H111" s="21" t="n"/>
      <c r="I111" s="21" t="n"/>
      <c r="J111" s="21" t="n"/>
      <c r="K111" s="17">
        <f>IF(G111="","Not started",IF(J111&lt;&gt;"","Mastered",IF(G111="Solo","Solved","Review "&amp;IF(I111&lt;&gt;"",3,IF(H111&lt;&gt;"",2,1))&amp;IF(AND(ISNUMBER(M111),M111&gt;TODAY())," scheduled"," due"))))</f>
        <v/>
      </c>
      <c r="L111" s="21"/>
      <c r="M111" s="22">
        <f>IF(OR(G111="",G111="Solo",J111&lt;&gt;"",NOT(ISNUMBER(L111))),"",MAX(L111,H111,I111)+IF(I111&lt;&gt;"",21,IF(H111&lt;&gt;"",7,3)))</f>
        <v/>
      </c>
      <c r="N111" s="19" t="n"/>
      <c r="O111" s="19" t="n"/>
    </row>
    <row r="112">
      <c r="A112" s="17" t="n">
        <v>111</v>
      </c>
      <c r="B112" s="17" t="inlineStr">
        <is>
          <t>2 · Trees &amp; graphs</t>
        </is>
      </c>
      <c r="C112" s="17" t="inlineStr">
        <is>
          <t>Greedy</t>
        </is>
      </c>
      <c r="D112" s="17" t="inlineStr">
        <is>
          <t>Partition Labels</t>
        </is>
      </c>
      <c r="E112" s="17" t="inlineStr">
        <is>
          <t>Medium</t>
        </is>
      </c>
      <c r="F112" s="17" t="inlineStr">
        <is>
          <t>NeetCode 150</t>
        </is>
      </c>
      <c r="G112" s="18" t="n"/>
      <c r="H112" s="21" t="n"/>
      <c r="I112" s="21" t="n"/>
      <c r="J112" s="21" t="n"/>
      <c r="K112" s="17">
        <f>IF(G112="","Not started",IF(J112&lt;&gt;"","Mastered",IF(G112="Solo","Solved","Review "&amp;IF(I112&lt;&gt;"",3,IF(H112&lt;&gt;"",2,1))&amp;IF(AND(ISNUMBER(M112),M112&gt;TODAY())," scheduled"," due"))))</f>
        <v/>
      </c>
      <c r="L112" s="21"/>
      <c r="M112" s="22">
        <f>IF(OR(G112="",G112="Solo",J112&lt;&gt;"",NOT(ISNUMBER(L112))),"",MAX(L112,H112,I112)+IF(I112&lt;&gt;"",21,IF(H112&lt;&gt;"",7,3)))</f>
        <v/>
      </c>
      <c r="N112" s="19" t="n"/>
      <c r="O112" s="19" t="n"/>
    </row>
    <row r="113">
      <c r="A113" s="17" t="n">
        <v>112</v>
      </c>
      <c r="B113" s="17" t="inlineStr">
        <is>
          <t>2 · Trees &amp; graphs</t>
        </is>
      </c>
      <c r="C113" s="17" t="inlineStr">
        <is>
          <t>Greedy</t>
        </is>
      </c>
      <c r="D113" s="17" t="inlineStr">
        <is>
          <t>Valid Parenthesis String</t>
        </is>
      </c>
      <c r="E113" s="17" t="inlineStr">
        <is>
          <t>Medium</t>
        </is>
      </c>
      <c r="F113" s="17" t="inlineStr">
        <is>
          <t>NeetCode 150</t>
        </is>
      </c>
      <c r="G113" s="18" t="n"/>
      <c r="H113" s="21" t="n"/>
      <c r="I113" s="21" t="n"/>
      <c r="J113" s="21" t="n"/>
      <c r="K113" s="17">
        <f>IF(G113="","Not started",IF(J113&lt;&gt;"","Mastered",IF(G113="Solo","Solved","Review "&amp;IF(I113&lt;&gt;"",3,IF(H113&lt;&gt;"",2,1))&amp;IF(AND(ISNUMBER(M113),M113&gt;TODAY())," scheduled"," due"))))</f>
        <v/>
      </c>
      <c r="L113" s="21"/>
      <c r="M113" s="22">
        <f>IF(OR(G113="",G113="Solo",J113&lt;&gt;"",NOT(ISNUMBER(L113))),"",MAX(L113,H113,I113)+IF(I113&lt;&gt;"",21,IF(H113&lt;&gt;"",7,3)))</f>
        <v/>
      </c>
      <c r="N113" s="19" t="n"/>
      <c r="O113" s="19" t="n"/>
    </row>
    <row r="114">
      <c r="A114" s="17" t="n">
        <v>113</v>
      </c>
      <c r="B114" s="17" t="inlineStr">
        <is>
          <t>3 · DP &amp; advanced</t>
        </is>
      </c>
      <c r="C114" s="17" t="inlineStr">
        <is>
          <t>1-D Dynamic Programming</t>
        </is>
      </c>
      <c r="D114" s="17" t="inlineStr">
        <is>
          <t>Climbing Stairs</t>
        </is>
      </c>
      <c r="E114" s="17" t="inlineStr">
        <is>
          <t>Easy</t>
        </is>
      </c>
      <c r="F114" s="17" t="inlineStr">
        <is>
          <t>NeetCode 150</t>
        </is>
      </c>
      <c r="G114" s="18" t="n"/>
      <c r="H114" s="21" t="n"/>
      <c r="I114" s="21" t="n"/>
      <c r="J114" s="21" t="n"/>
      <c r="K114" s="17">
        <f>IF(G114="","Not started",IF(J114&lt;&gt;"","Mastered",IF(G114="Solo","Solved","Review "&amp;IF(I114&lt;&gt;"",3,IF(H114&lt;&gt;"",2,1))&amp;IF(AND(ISNUMBER(M114),M114&gt;TODAY())," scheduled"," due"))))</f>
        <v/>
      </c>
      <c r="L114" s="21"/>
      <c r="M114" s="22">
        <f>IF(OR(G114="",G114="Solo",J114&lt;&gt;"",NOT(ISNUMBER(L114))),"",MAX(L114,H114,I114)+IF(I114&lt;&gt;"",21,IF(H114&lt;&gt;"",7,3)))</f>
        <v/>
      </c>
      <c r="N114" s="19" t="n"/>
      <c r="O114" s="19" t="n"/>
    </row>
    <row r="115">
      <c r="A115" s="17" t="n">
        <v>114</v>
      </c>
      <c r="B115" s="17" t="inlineStr">
        <is>
          <t>3 · DP &amp; advanced</t>
        </is>
      </c>
      <c r="C115" s="17" t="inlineStr">
        <is>
          <t>1-D Dynamic Programming</t>
        </is>
      </c>
      <c r="D115" s="17" t="inlineStr">
        <is>
          <t>Min Cost Climbing Stairs</t>
        </is>
      </c>
      <c r="E115" s="17" t="inlineStr">
        <is>
          <t>Easy</t>
        </is>
      </c>
      <c r="F115" s="17" t="inlineStr">
        <is>
          <t>NeetCode 150</t>
        </is>
      </c>
      <c r="G115" s="18" t="n"/>
      <c r="H115" s="21" t="n"/>
      <c r="I115" s="21" t="n"/>
      <c r="J115" s="21" t="n"/>
      <c r="K115" s="17">
        <f>IF(G115="","Not started",IF(J115&lt;&gt;"","Mastered",IF(G115="Solo","Solved","Review "&amp;IF(I115&lt;&gt;"",3,IF(H115&lt;&gt;"",2,1))&amp;IF(AND(ISNUMBER(M115),M115&gt;TODAY())," scheduled"," due"))))</f>
        <v/>
      </c>
      <c r="L115" s="21"/>
      <c r="M115" s="22">
        <f>IF(OR(G115="",G115="Solo",J115&lt;&gt;"",NOT(ISNUMBER(L115))),"",MAX(L115,H115,I115)+IF(I115&lt;&gt;"",21,IF(H115&lt;&gt;"",7,3)))</f>
        <v/>
      </c>
      <c r="N115" s="19" t="n"/>
      <c r="O115" s="19" t="n"/>
    </row>
    <row r="116">
      <c r="A116" s="17" t="n">
        <v>115</v>
      </c>
      <c r="B116" s="17" t="inlineStr">
        <is>
          <t>3 · DP &amp; advanced</t>
        </is>
      </c>
      <c r="C116" s="17" t="inlineStr">
        <is>
          <t>1-D Dynamic Programming</t>
        </is>
      </c>
      <c r="D116" s="17" t="inlineStr">
        <is>
          <t>House Robber</t>
        </is>
      </c>
      <c r="E116" s="17" t="inlineStr">
        <is>
          <t>Medium</t>
        </is>
      </c>
      <c r="F116" s="17" t="inlineStr">
        <is>
          <t>NeetCode 150</t>
        </is>
      </c>
      <c r="G116" s="18" t="n"/>
      <c r="H116" s="21" t="n"/>
      <c r="I116" s="21" t="n"/>
      <c r="J116" s="21" t="n"/>
      <c r="K116" s="17">
        <f>IF(G116="","Not started",IF(J116&lt;&gt;"","Mastered",IF(G116="Solo","Solved","Review "&amp;IF(I116&lt;&gt;"",3,IF(H116&lt;&gt;"",2,1))&amp;IF(AND(ISNUMBER(M116),M116&gt;TODAY())," scheduled"," due"))))</f>
        <v/>
      </c>
      <c r="L116" s="21"/>
      <c r="M116" s="22">
        <f>IF(OR(G116="",G116="Solo",J116&lt;&gt;"",NOT(ISNUMBER(L116))),"",MAX(L116,H116,I116)+IF(I116&lt;&gt;"",21,IF(H116&lt;&gt;"",7,3)))</f>
        <v/>
      </c>
      <c r="N116" s="19" t="n"/>
      <c r="O116" s="19" t="n"/>
    </row>
    <row r="117">
      <c r="A117" s="17" t="n">
        <v>116</v>
      </c>
      <c r="B117" s="17" t="inlineStr">
        <is>
          <t>3 · DP &amp; advanced</t>
        </is>
      </c>
      <c r="C117" s="17" t="inlineStr">
        <is>
          <t>1-D Dynamic Programming</t>
        </is>
      </c>
      <c r="D117" s="17" t="inlineStr">
        <is>
          <t>House Robber II</t>
        </is>
      </c>
      <c r="E117" s="17" t="inlineStr">
        <is>
          <t>Medium</t>
        </is>
      </c>
      <c r="F117" s="17" t="inlineStr">
        <is>
          <t>NeetCode 150</t>
        </is>
      </c>
      <c r="G117" s="18" t="n"/>
      <c r="H117" s="21" t="n"/>
      <c r="I117" s="21" t="n"/>
      <c r="J117" s="21" t="n"/>
      <c r="K117" s="17">
        <f>IF(G117="","Not started",IF(J117&lt;&gt;"","Mastered",IF(G117="Solo","Solved","Review "&amp;IF(I117&lt;&gt;"",3,IF(H117&lt;&gt;"",2,1))&amp;IF(AND(ISNUMBER(M117),M117&gt;TODAY())," scheduled"," due"))))</f>
        <v/>
      </c>
      <c r="L117" s="21"/>
      <c r="M117" s="22">
        <f>IF(OR(G117="",G117="Solo",J117&lt;&gt;"",NOT(ISNUMBER(L117))),"",MAX(L117,H117,I117)+IF(I117&lt;&gt;"",21,IF(H117&lt;&gt;"",7,3)))</f>
        <v/>
      </c>
      <c r="N117" s="19" t="n"/>
      <c r="O117" s="19" t="n"/>
    </row>
    <row r="118">
      <c r="A118" s="17" t="n">
        <v>117</v>
      </c>
      <c r="B118" s="17" t="inlineStr">
        <is>
          <t>3 · DP &amp; advanced</t>
        </is>
      </c>
      <c r="C118" s="17" t="inlineStr">
        <is>
          <t>1-D Dynamic Programming</t>
        </is>
      </c>
      <c r="D118" s="17" t="inlineStr">
        <is>
          <t>Longest Palindromic Substring</t>
        </is>
      </c>
      <c r="E118" s="17" t="inlineStr">
        <is>
          <t>Medium</t>
        </is>
      </c>
      <c r="F118" s="17" t="inlineStr">
        <is>
          <t>NeetCode 150</t>
        </is>
      </c>
      <c r="G118" s="18" t="n"/>
      <c r="H118" s="21" t="n"/>
      <c r="I118" s="21" t="n"/>
      <c r="J118" s="21" t="n"/>
      <c r="K118" s="17">
        <f>IF(G118="","Not started",IF(J118&lt;&gt;"","Mastered",IF(G118="Solo","Solved","Review "&amp;IF(I118&lt;&gt;"",3,IF(H118&lt;&gt;"",2,1))&amp;IF(AND(ISNUMBER(M118),M118&gt;TODAY())," scheduled"," due"))))</f>
        <v/>
      </c>
      <c r="L118" s="21"/>
      <c r="M118" s="22">
        <f>IF(OR(G118="",G118="Solo",J118&lt;&gt;"",NOT(ISNUMBER(L118))),"",MAX(L118,H118,I118)+IF(I118&lt;&gt;"",21,IF(H118&lt;&gt;"",7,3)))</f>
        <v/>
      </c>
      <c r="N118" s="19" t="n"/>
      <c r="O118" s="19" t="n"/>
    </row>
    <row r="119">
      <c r="A119" s="17" t="n">
        <v>118</v>
      </c>
      <c r="B119" s="17" t="inlineStr">
        <is>
          <t>3 · DP &amp; advanced</t>
        </is>
      </c>
      <c r="C119" s="17" t="inlineStr">
        <is>
          <t>1-D Dynamic Programming</t>
        </is>
      </c>
      <c r="D119" s="17" t="inlineStr">
        <is>
          <t>Palindromic Substrings</t>
        </is>
      </c>
      <c r="E119" s="17" t="inlineStr">
        <is>
          <t>Medium</t>
        </is>
      </c>
      <c r="F119" s="17" t="inlineStr">
        <is>
          <t>NeetCode 150</t>
        </is>
      </c>
      <c r="G119" s="18" t="n"/>
      <c r="H119" s="21" t="n"/>
      <c r="I119" s="21" t="n"/>
      <c r="J119" s="21" t="n"/>
      <c r="K119" s="17">
        <f>IF(G119="","Not started",IF(J119&lt;&gt;"","Mastered",IF(G119="Solo","Solved","Review "&amp;IF(I119&lt;&gt;"",3,IF(H119&lt;&gt;"",2,1))&amp;IF(AND(ISNUMBER(M119),M119&gt;TODAY())," scheduled"," due"))))</f>
        <v/>
      </c>
      <c r="L119" s="21"/>
      <c r="M119" s="22">
        <f>IF(OR(G119="",G119="Solo",J119&lt;&gt;"",NOT(ISNUMBER(L119))),"",MAX(L119,H119,I119)+IF(I119&lt;&gt;"",21,IF(H119&lt;&gt;"",7,3)))</f>
        <v/>
      </c>
      <c r="N119" s="19" t="n"/>
      <c r="O119" s="19" t="n"/>
    </row>
    <row r="120">
      <c r="A120" s="17" t="n">
        <v>119</v>
      </c>
      <c r="B120" s="17" t="inlineStr">
        <is>
          <t>3 · DP &amp; advanced</t>
        </is>
      </c>
      <c r="C120" s="17" t="inlineStr">
        <is>
          <t>1-D Dynamic Programming</t>
        </is>
      </c>
      <c r="D120" s="17" t="inlineStr">
        <is>
          <t>Decode Ways</t>
        </is>
      </c>
      <c r="E120" s="17" t="inlineStr">
        <is>
          <t>Medium</t>
        </is>
      </c>
      <c r="F120" s="17" t="inlineStr">
        <is>
          <t>NeetCode 150</t>
        </is>
      </c>
      <c r="G120" s="18" t="n"/>
      <c r="H120" s="21" t="n"/>
      <c r="I120" s="21" t="n"/>
      <c r="J120" s="21" t="n"/>
      <c r="K120" s="17">
        <f>IF(G120="","Not started",IF(J120&lt;&gt;"","Mastered",IF(G120="Solo","Solved","Review "&amp;IF(I120&lt;&gt;"",3,IF(H120&lt;&gt;"",2,1))&amp;IF(AND(ISNUMBER(M120),M120&gt;TODAY())," scheduled"," due"))))</f>
        <v/>
      </c>
      <c r="L120" s="21"/>
      <c r="M120" s="22">
        <f>IF(OR(G120="",G120="Solo",J120&lt;&gt;"",NOT(ISNUMBER(L120))),"",MAX(L120,H120,I120)+IF(I120&lt;&gt;"",21,IF(H120&lt;&gt;"",7,3)))</f>
        <v/>
      </c>
      <c r="N120" s="19" t="n"/>
      <c r="O120" s="19" t="n"/>
    </row>
    <row r="121">
      <c r="A121" s="17" t="n">
        <v>120</v>
      </c>
      <c r="B121" s="17" t="inlineStr">
        <is>
          <t>3 · DP &amp; advanced</t>
        </is>
      </c>
      <c r="C121" s="17" t="inlineStr">
        <is>
          <t>1-D Dynamic Programming</t>
        </is>
      </c>
      <c r="D121" s="17" t="inlineStr">
        <is>
          <t>Coin Change</t>
        </is>
      </c>
      <c r="E121" s="17" t="inlineStr">
        <is>
          <t>Medium</t>
        </is>
      </c>
      <c r="F121" s="17" t="inlineStr">
        <is>
          <t>NeetCode 150</t>
        </is>
      </c>
      <c r="G121" s="18" t="n"/>
      <c r="H121" s="21" t="n"/>
      <c r="I121" s="21" t="n"/>
      <c r="J121" s="21" t="n"/>
      <c r="K121" s="17">
        <f>IF(G121="","Not started",IF(J121&lt;&gt;"","Mastered",IF(G121="Solo","Solved","Review "&amp;IF(I121&lt;&gt;"",3,IF(H121&lt;&gt;"",2,1))&amp;IF(AND(ISNUMBER(M121),M121&gt;TODAY())," scheduled"," due"))))</f>
        <v/>
      </c>
      <c r="L121" s="21"/>
      <c r="M121" s="22">
        <f>IF(OR(G121="",G121="Solo",J121&lt;&gt;"",NOT(ISNUMBER(L121))),"",MAX(L121,H121,I121)+IF(I121&lt;&gt;"",21,IF(H121&lt;&gt;"",7,3)))</f>
        <v/>
      </c>
      <c r="N121" s="19" t="n"/>
      <c r="O121" s="19" t="n"/>
    </row>
    <row r="122">
      <c r="A122" s="17" t="n">
        <v>121</v>
      </c>
      <c r="B122" s="17" t="inlineStr">
        <is>
          <t>3 · DP &amp; advanced</t>
        </is>
      </c>
      <c r="C122" s="17" t="inlineStr">
        <is>
          <t>1-D Dynamic Programming</t>
        </is>
      </c>
      <c r="D122" s="17" t="inlineStr">
        <is>
          <t>Maximum Product Subarray</t>
        </is>
      </c>
      <c r="E122" s="17" t="inlineStr">
        <is>
          <t>Medium</t>
        </is>
      </c>
      <c r="F122" s="17" t="inlineStr">
        <is>
          <t>NeetCode 150</t>
        </is>
      </c>
      <c r="G122" s="18" t="n"/>
      <c r="H122" s="21" t="n"/>
      <c r="I122" s="21" t="n"/>
      <c r="J122" s="21" t="n"/>
      <c r="K122" s="17">
        <f>IF(G122="","Not started",IF(J122&lt;&gt;"","Mastered",IF(G122="Solo","Solved","Review "&amp;IF(I122&lt;&gt;"",3,IF(H122&lt;&gt;"",2,1))&amp;IF(AND(ISNUMBER(M122),M122&gt;TODAY())," scheduled"," due"))))</f>
        <v/>
      </c>
      <c r="L122" s="21"/>
      <c r="M122" s="22">
        <f>IF(OR(G122="",G122="Solo",J122&lt;&gt;"",NOT(ISNUMBER(L122))),"",MAX(L122,H122,I122)+IF(I122&lt;&gt;"",21,IF(H122&lt;&gt;"",7,3)))</f>
        <v/>
      </c>
      <c r="N122" s="19" t="n"/>
      <c r="O122" s="19" t="n"/>
    </row>
    <row r="123">
      <c r="A123" s="17" t="n">
        <v>122</v>
      </c>
      <c r="B123" s="17" t="inlineStr">
        <is>
          <t>3 · DP &amp; advanced</t>
        </is>
      </c>
      <c r="C123" s="17" t="inlineStr">
        <is>
          <t>1-D Dynamic Programming</t>
        </is>
      </c>
      <c r="D123" s="17" t="inlineStr">
        <is>
          <t>Word Break</t>
        </is>
      </c>
      <c r="E123" s="17" t="inlineStr">
        <is>
          <t>Medium</t>
        </is>
      </c>
      <c r="F123" s="17" t="inlineStr">
        <is>
          <t>NeetCode 150</t>
        </is>
      </c>
      <c r="G123" s="18" t="n"/>
      <c r="H123" s="21" t="n"/>
      <c r="I123" s="21" t="n"/>
      <c r="J123" s="21" t="n"/>
      <c r="K123" s="17">
        <f>IF(G123="","Not started",IF(J123&lt;&gt;"","Mastered",IF(G123="Solo","Solved","Review "&amp;IF(I123&lt;&gt;"",3,IF(H123&lt;&gt;"",2,1))&amp;IF(AND(ISNUMBER(M123),M123&gt;TODAY())," scheduled"," due"))))</f>
        <v/>
      </c>
      <c r="L123" s="21"/>
      <c r="M123" s="22">
        <f>IF(OR(G123="",G123="Solo",J123&lt;&gt;"",NOT(ISNUMBER(L123))),"",MAX(L123,H123,I123)+IF(I123&lt;&gt;"",21,IF(H123&lt;&gt;"",7,3)))</f>
        <v/>
      </c>
      <c r="N123" s="19" t="n"/>
      <c r="O123" s="19" t="n"/>
    </row>
    <row r="124">
      <c r="A124" s="17" t="n">
        <v>123</v>
      </c>
      <c r="B124" s="17" t="inlineStr">
        <is>
          <t>3 · DP &amp; advanced</t>
        </is>
      </c>
      <c r="C124" s="17" t="inlineStr">
        <is>
          <t>1-D Dynamic Programming</t>
        </is>
      </c>
      <c r="D124" s="17" t="inlineStr">
        <is>
          <t>Longest Increasing Subsequence</t>
        </is>
      </c>
      <c r="E124" s="17" t="inlineStr">
        <is>
          <t>Medium</t>
        </is>
      </c>
      <c r="F124" s="17" t="inlineStr">
        <is>
          <t>NeetCode 150</t>
        </is>
      </c>
      <c r="G124" s="18" t="n"/>
      <c r="H124" s="21" t="n"/>
      <c r="I124" s="21" t="n"/>
      <c r="J124" s="21" t="n"/>
      <c r="K124" s="17">
        <f>IF(G124="","Not started",IF(J124&lt;&gt;"","Mastered",IF(G124="Solo","Solved","Review "&amp;IF(I124&lt;&gt;"",3,IF(H124&lt;&gt;"",2,1))&amp;IF(AND(ISNUMBER(M124),M124&gt;TODAY())," scheduled"," due"))))</f>
        <v/>
      </c>
      <c r="L124" s="21"/>
      <c r="M124" s="22">
        <f>IF(OR(G124="",G124="Solo",J124&lt;&gt;"",NOT(ISNUMBER(L124))),"",MAX(L124,H124,I124)+IF(I124&lt;&gt;"",21,IF(H124&lt;&gt;"",7,3)))</f>
        <v/>
      </c>
      <c r="N124" s="19" t="n"/>
      <c r="O124" s="19" t="n"/>
    </row>
    <row r="125">
      <c r="A125" s="17" t="n">
        <v>124</v>
      </c>
      <c r="B125" s="17" t="inlineStr">
        <is>
          <t>3 · DP &amp; advanced</t>
        </is>
      </c>
      <c r="C125" s="17" t="inlineStr">
        <is>
          <t>1-D Dynamic Programming</t>
        </is>
      </c>
      <c r="D125" s="17" t="inlineStr">
        <is>
          <t>Partition Equal Subset Sum</t>
        </is>
      </c>
      <c r="E125" s="17" t="inlineStr">
        <is>
          <t>Medium</t>
        </is>
      </c>
      <c r="F125" s="17" t="inlineStr">
        <is>
          <t>NeetCode 150</t>
        </is>
      </c>
      <c r="G125" s="18" t="n"/>
      <c r="H125" s="21" t="n"/>
      <c r="I125" s="21" t="n"/>
      <c r="J125" s="21" t="n"/>
      <c r="K125" s="17">
        <f>IF(G125="","Not started",IF(J125&lt;&gt;"","Mastered",IF(G125="Solo","Solved","Review "&amp;IF(I125&lt;&gt;"",3,IF(H125&lt;&gt;"",2,1))&amp;IF(AND(ISNUMBER(M125),M125&gt;TODAY())," scheduled"," due"))))</f>
        <v/>
      </c>
      <c r="L125" s="21"/>
      <c r="M125" s="22">
        <f>IF(OR(G125="",G125="Solo",J125&lt;&gt;"",NOT(ISNUMBER(L125))),"",MAX(L125,H125,I125)+IF(I125&lt;&gt;"",21,IF(H125&lt;&gt;"",7,3)))</f>
        <v/>
      </c>
      <c r="N125" s="19" t="n"/>
      <c r="O125" s="19" t="n"/>
    </row>
    <row r="126">
      <c r="A126" s="17" t="n">
        <v>125</v>
      </c>
      <c r="B126" s="17" t="inlineStr">
        <is>
          <t>3 · DP &amp; advanced</t>
        </is>
      </c>
      <c r="C126" s="17" t="inlineStr">
        <is>
          <t>2-D Dynamic Programming</t>
        </is>
      </c>
      <c r="D126" s="17" t="inlineStr">
        <is>
          <t>Unique Paths</t>
        </is>
      </c>
      <c r="E126" s="17" t="inlineStr">
        <is>
          <t>Medium</t>
        </is>
      </c>
      <c r="F126" s="17" t="inlineStr">
        <is>
          <t>NeetCode 150</t>
        </is>
      </c>
      <c r="G126" s="18" t="n"/>
      <c r="H126" s="21" t="n"/>
      <c r="I126" s="21" t="n"/>
      <c r="J126" s="21" t="n"/>
      <c r="K126" s="17">
        <f>IF(G126="","Not started",IF(J126&lt;&gt;"","Mastered",IF(G126="Solo","Solved","Review "&amp;IF(I126&lt;&gt;"",3,IF(H126&lt;&gt;"",2,1))&amp;IF(AND(ISNUMBER(M126),M126&gt;TODAY())," scheduled"," due"))))</f>
        <v/>
      </c>
      <c r="L126" s="21"/>
      <c r="M126" s="22">
        <f>IF(OR(G126="",G126="Solo",J126&lt;&gt;"",NOT(ISNUMBER(L126))),"",MAX(L126,H126,I126)+IF(I126&lt;&gt;"",21,IF(H126&lt;&gt;"",7,3)))</f>
        <v/>
      </c>
      <c r="N126" s="19" t="n"/>
      <c r="O126" s="19" t="n"/>
    </row>
    <row r="127">
      <c r="A127" s="17" t="n">
        <v>126</v>
      </c>
      <c r="B127" s="17" t="inlineStr">
        <is>
          <t>3 · DP &amp; advanced</t>
        </is>
      </c>
      <c r="C127" s="17" t="inlineStr">
        <is>
          <t>2-D Dynamic Programming</t>
        </is>
      </c>
      <c r="D127" s="17" t="inlineStr">
        <is>
          <t>Longest Common Subsequence</t>
        </is>
      </c>
      <c r="E127" s="17" t="inlineStr">
        <is>
          <t>Medium</t>
        </is>
      </c>
      <c r="F127" s="17" t="inlineStr">
        <is>
          <t>NeetCode 150</t>
        </is>
      </c>
      <c r="G127" s="18" t="n"/>
      <c r="H127" s="21" t="n"/>
      <c r="I127" s="21" t="n"/>
      <c r="J127" s="21" t="n"/>
      <c r="K127" s="17">
        <f>IF(G127="","Not started",IF(J127&lt;&gt;"","Mastered",IF(G127="Solo","Solved","Review "&amp;IF(I127&lt;&gt;"",3,IF(H127&lt;&gt;"",2,1))&amp;IF(AND(ISNUMBER(M127),M127&gt;TODAY())," scheduled"," due"))))</f>
        <v/>
      </c>
      <c r="L127" s="21"/>
      <c r="M127" s="22">
        <f>IF(OR(G127="",G127="Solo",J127&lt;&gt;"",NOT(ISNUMBER(L127))),"",MAX(L127,H127,I127)+IF(I127&lt;&gt;"",21,IF(H127&lt;&gt;"",7,3)))</f>
        <v/>
      </c>
      <c r="N127" s="19" t="n"/>
      <c r="O127" s="19" t="n"/>
    </row>
    <row r="128">
      <c r="A128" s="17" t="n">
        <v>127</v>
      </c>
      <c r="B128" s="17" t="inlineStr">
        <is>
          <t>3 · DP &amp; advanced</t>
        </is>
      </c>
      <c r="C128" s="17" t="inlineStr">
        <is>
          <t>2-D Dynamic Programming</t>
        </is>
      </c>
      <c r="D128" s="17" t="inlineStr">
        <is>
          <t>Best Time to Buy and Sell Stock with Cooldown</t>
        </is>
      </c>
      <c r="E128" s="17" t="inlineStr">
        <is>
          <t>Medium</t>
        </is>
      </c>
      <c r="F128" s="17" t="inlineStr">
        <is>
          <t>NeetCode 150</t>
        </is>
      </c>
      <c r="G128" s="18" t="n"/>
      <c r="H128" s="21" t="n"/>
      <c r="I128" s="21" t="n"/>
      <c r="J128" s="21" t="n"/>
      <c r="K128" s="17">
        <f>IF(G128="","Not started",IF(J128&lt;&gt;"","Mastered",IF(G128="Solo","Solved","Review "&amp;IF(I128&lt;&gt;"",3,IF(H128&lt;&gt;"",2,1))&amp;IF(AND(ISNUMBER(M128),M128&gt;TODAY())," scheduled"," due"))))</f>
        <v/>
      </c>
      <c r="L128" s="21"/>
      <c r="M128" s="22">
        <f>IF(OR(G128="",G128="Solo",J128&lt;&gt;"",NOT(ISNUMBER(L128))),"",MAX(L128,H128,I128)+IF(I128&lt;&gt;"",21,IF(H128&lt;&gt;"",7,3)))</f>
        <v/>
      </c>
      <c r="N128" s="19" t="n"/>
      <c r="O128" s="19" t="n"/>
    </row>
    <row r="129">
      <c r="A129" s="17" t="n">
        <v>128</v>
      </c>
      <c r="B129" s="17" t="inlineStr">
        <is>
          <t>3 · DP &amp; advanced</t>
        </is>
      </c>
      <c r="C129" s="17" t="inlineStr">
        <is>
          <t>2-D Dynamic Programming</t>
        </is>
      </c>
      <c r="D129" s="17" t="inlineStr">
        <is>
          <t>Coin Change II</t>
        </is>
      </c>
      <c r="E129" s="17" t="inlineStr">
        <is>
          <t>Medium</t>
        </is>
      </c>
      <c r="F129" s="17" t="inlineStr">
        <is>
          <t>NeetCode 150</t>
        </is>
      </c>
      <c r="G129" s="18" t="n"/>
      <c r="H129" s="21" t="n"/>
      <c r="I129" s="21" t="n"/>
      <c r="J129" s="21" t="n"/>
      <c r="K129" s="17">
        <f>IF(G129="","Not started",IF(J129&lt;&gt;"","Mastered",IF(G129="Solo","Solved","Review "&amp;IF(I129&lt;&gt;"",3,IF(H129&lt;&gt;"",2,1))&amp;IF(AND(ISNUMBER(M129),M129&gt;TODAY())," scheduled"," due"))))</f>
        <v/>
      </c>
      <c r="L129" s="21"/>
      <c r="M129" s="22">
        <f>IF(OR(G129="",G129="Solo",J129&lt;&gt;"",NOT(ISNUMBER(L129))),"",MAX(L129,H129,I129)+IF(I129&lt;&gt;"",21,IF(H129&lt;&gt;"",7,3)))</f>
        <v/>
      </c>
      <c r="N129" s="19" t="n"/>
      <c r="O129" s="19" t="n"/>
    </row>
    <row r="130">
      <c r="A130" s="17" t="n">
        <v>129</v>
      </c>
      <c r="B130" s="17" t="inlineStr">
        <is>
          <t>3 · DP &amp; advanced</t>
        </is>
      </c>
      <c r="C130" s="17" t="inlineStr">
        <is>
          <t>2-D Dynamic Programming</t>
        </is>
      </c>
      <c r="D130" s="17" t="inlineStr">
        <is>
          <t>Target Sum</t>
        </is>
      </c>
      <c r="E130" s="17" t="inlineStr">
        <is>
          <t>Medium</t>
        </is>
      </c>
      <c r="F130" s="17" t="inlineStr">
        <is>
          <t>NeetCode 150</t>
        </is>
      </c>
      <c r="G130" s="18" t="n"/>
      <c r="H130" s="21" t="n"/>
      <c r="I130" s="21" t="n"/>
      <c r="J130" s="21" t="n"/>
      <c r="K130" s="17">
        <f>IF(G130="","Not started",IF(J130&lt;&gt;"","Mastered",IF(G130="Solo","Solved","Review "&amp;IF(I130&lt;&gt;"",3,IF(H130&lt;&gt;"",2,1))&amp;IF(AND(ISNUMBER(M130),M130&gt;TODAY())," scheduled"," due"))))</f>
        <v/>
      </c>
      <c r="L130" s="21"/>
      <c r="M130" s="22">
        <f>IF(OR(G130="",G130="Solo",J130&lt;&gt;"",NOT(ISNUMBER(L130))),"",MAX(L130,H130,I130)+IF(I130&lt;&gt;"",21,IF(H130&lt;&gt;"",7,3)))</f>
        <v/>
      </c>
      <c r="N130" s="19" t="n"/>
      <c r="O130" s="19" t="n"/>
    </row>
    <row r="131">
      <c r="A131" s="17" t="n">
        <v>130</v>
      </c>
      <c r="B131" s="17" t="inlineStr">
        <is>
          <t>3 · DP &amp; advanced</t>
        </is>
      </c>
      <c r="C131" s="17" t="inlineStr">
        <is>
          <t>2-D Dynamic Programming</t>
        </is>
      </c>
      <c r="D131" s="17" t="inlineStr">
        <is>
          <t>Interleaving String</t>
        </is>
      </c>
      <c r="E131" s="17" t="inlineStr">
        <is>
          <t>Medium</t>
        </is>
      </c>
      <c r="F131" s="17" t="inlineStr">
        <is>
          <t>NeetCode 150</t>
        </is>
      </c>
      <c r="G131" s="18" t="n"/>
      <c r="H131" s="21" t="n"/>
      <c r="I131" s="21" t="n"/>
      <c r="J131" s="21" t="n"/>
      <c r="K131" s="17">
        <f>IF(G131="","Not started",IF(J131&lt;&gt;"","Mastered",IF(G131="Solo","Solved","Review "&amp;IF(I131&lt;&gt;"",3,IF(H131&lt;&gt;"",2,1))&amp;IF(AND(ISNUMBER(M131),M131&gt;TODAY())," scheduled"," due"))))</f>
        <v/>
      </c>
      <c r="L131" s="21"/>
      <c r="M131" s="22">
        <f>IF(OR(G131="",G131="Solo",J131&lt;&gt;"",NOT(ISNUMBER(L131))),"",MAX(L131,H131,I131)+IF(I131&lt;&gt;"",21,IF(H131&lt;&gt;"",7,3)))</f>
        <v/>
      </c>
      <c r="N131" s="19" t="n"/>
      <c r="O131" s="19" t="n"/>
    </row>
    <row r="132">
      <c r="A132" s="17" t="n">
        <v>131</v>
      </c>
      <c r="B132" s="17" t="inlineStr">
        <is>
          <t>3 · DP &amp; advanced</t>
        </is>
      </c>
      <c r="C132" s="17" t="inlineStr">
        <is>
          <t>2-D Dynamic Programming</t>
        </is>
      </c>
      <c r="D132" s="17" t="inlineStr">
        <is>
          <t>Edit Distance</t>
        </is>
      </c>
      <c r="E132" s="17" t="inlineStr">
        <is>
          <t>Medium</t>
        </is>
      </c>
      <c r="F132" s="17" t="inlineStr">
        <is>
          <t>NeetCode 150</t>
        </is>
      </c>
      <c r="G132" s="18" t="n"/>
      <c r="H132" s="21" t="n"/>
      <c r="I132" s="21" t="n"/>
      <c r="J132" s="21" t="n"/>
      <c r="K132" s="17">
        <f>IF(G132="","Not started",IF(J132&lt;&gt;"","Mastered",IF(G132="Solo","Solved","Review "&amp;IF(I132&lt;&gt;"",3,IF(H132&lt;&gt;"",2,1))&amp;IF(AND(ISNUMBER(M132),M132&gt;TODAY())," scheduled"," due"))))</f>
        <v/>
      </c>
      <c r="L132" s="21"/>
      <c r="M132" s="22">
        <f>IF(OR(G132="",G132="Solo",J132&lt;&gt;"",NOT(ISNUMBER(L132))),"",MAX(L132,H132,I132)+IF(I132&lt;&gt;"",21,IF(H132&lt;&gt;"",7,3)))</f>
        <v/>
      </c>
      <c r="N132" s="19" t="n"/>
      <c r="O132" s="19" t="n"/>
    </row>
    <row r="133">
      <c r="A133" s="17" t="n">
        <v>132</v>
      </c>
      <c r="B133" s="17" t="inlineStr">
        <is>
          <t>3 · DP &amp; advanced</t>
        </is>
      </c>
      <c r="C133" s="17" t="inlineStr">
        <is>
          <t>2-D Dynamic Programming</t>
        </is>
      </c>
      <c r="D133" s="17" t="inlineStr">
        <is>
          <t>Longest Increasing Path in a Matrix</t>
        </is>
      </c>
      <c r="E133" s="17" t="inlineStr">
        <is>
          <t>Hard</t>
        </is>
      </c>
      <c r="F133" s="17" t="inlineStr">
        <is>
          <t>NeetCode 150</t>
        </is>
      </c>
      <c r="G133" s="18" t="n"/>
      <c r="H133" s="21" t="n"/>
      <c r="I133" s="21" t="n"/>
      <c r="J133" s="21" t="n"/>
      <c r="K133" s="17">
        <f>IF(G133="","Not started",IF(J133&lt;&gt;"","Mastered",IF(G133="Solo","Solved","Review "&amp;IF(I133&lt;&gt;"",3,IF(H133&lt;&gt;"",2,1))&amp;IF(AND(ISNUMBER(M133),M133&gt;TODAY())," scheduled"," due"))))</f>
        <v/>
      </c>
      <c r="L133" s="21"/>
      <c r="M133" s="22">
        <f>IF(OR(G133="",G133="Solo",J133&lt;&gt;"",NOT(ISNUMBER(L133))),"",MAX(L133,H133,I133)+IF(I133&lt;&gt;"",21,IF(H133&lt;&gt;"",7,3)))</f>
        <v/>
      </c>
      <c r="N133" s="19" t="n"/>
      <c r="O133" s="19" t="n"/>
    </row>
    <row r="134">
      <c r="A134" s="17" t="n">
        <v>133</v>
      </c>
      <c r="B134" s="17" t="inlineStr">
        <is>
          <t>3 · DP &amp; advanced</t>
        </is>
      </c>
      <c r="C134" s="17" t="inlineStr">
        <is>
          <t>2-D Dynamic Programming</t>
        </is>
      </c>
      <c r="D134" s="17" t="inlineStr">
        <is>
          <t>Distinct Subsequences</t>
        </is>
      </c>
      <c r="E134" s="17" t="inlineStr">
        <is>
          <t>Hard</t>
        </is>
      </c>
      <c r="F134" s="17" t="inlineStr">
        <is>
          <t>NeetCode 150</t>
        </is>
      </c>
      <c r="G134" s="18" t="n"/>
      <c r="H134" s="21" t="n"/>
      <c r="I134" s="21" t="n"/>
      <c r="J134" s="21" t="n"/>
      <c r="K134" s="17">
        <f>IF(G134="","Not started",IF(J134&lt;&gt;"","Mastered",IF(G134="Solo","Solved","Review "&amp;IF(I134&lt;&gt;"",3,IF(H134&lt;&gt;"",2,1))&amp;IF(AND(ISNUMBER(M134),M134&gt;TODAY())," scheduled"," due"))))</f>
        <v/>
      </c>
      <c r="L134" s="21"/>
      <c r="M134" s="22">
        <f>IF(OR(G134="",G134="Solo",J134&lt;&gt;"",NOT(ISNUMBER(L134))),"",MAX(L134,H134,I134)+IF(I134&lt;&gt;"",21,IF(H134&lt;&gt;"",7,3)))</f>
        <v/>
      </c>
      <c r="N134" s="19" t="n"/>
      <c r="O134" s="19" t="n"/>
    </row>
    <row r="135">
      <c r="A135" s="17" t="n">
        <v>134</v>
      </c>
      <c r="B135" s="17" t="inlineStr">
        <is>
          <t>3 · DP &amp; advanced</t>
        </is>
      </c>
      <c r="C135" s="17" t="inlineStr">
        <is>
          <t>2-D Dynamic Programming</t>
        </is>
      </c>
      <c r="D135" s="17" t="inlineStr">
        <is>
          <t>Burst Balloons</t>
        </is>
      </c>
      <c r="E135" s="17" t="inlineStr">
        <is>
          <t>Hard</t>
        </is>
      </c>
      <c r="F135" s="17" t="inlineStr">
        <is>
          <t>NeetCode 150</t>
        </is>
      </c>
      <c r="G135" s="18" t="n"/>
      <c r="H135" s="21" t="n"/>
      <c r="I135" s="21" t="n"/>
      <c r="J135" s="21" t="n"/>
      <c r="K135" s="17">
        <f>IF(G135="","Not started",IF(J135&lt;&gt;"","Mastered",IF(G135="Solo","Solved","Review "&amp;IF(I135&lt;&gt;"",3,IF(H135&lt;&gt;"",2,1))&amp;IF(AND(ISNUMBER(M135),M135&gt;TODAY())," scheduled"," due"))))</f>
        <v/>
      </c>
      <c r="L135" s="21"/>
      <c r="M135" s="22">
        <f>IF(OR(G135="",G135="Solo",J135&lt;&gt;"",NOT(ISNUMBER(L135))),"",MAX(L135,H135,I135)+IF(I135&lt;&gt;"",21,IF(H135&lt;&gt;"",7,3)))</f>
        <v/>
      </c>
      <c r="N135" s="19" t="n"/>
      <c r="O135" s="19" t="n"/>
    </row>
    <row r="136">
      <c r="A136" s="17" t="n">
        <v>135</v>
      </c>
      <c r="B136" s="17" t="inlineStr">
        <is>
          <t>3 · DP &amp; advanced</t>
        </is>
      </c>
      <c r="C136" s="17" t="inlineStr">
        <is>
          <t>2-D Dynamic Programming</t>
        </is>
      </c>
      <c r="D136" s="17" t="inlineStr">
        <is>
          <t>Regular Expression Matching</t>
        </is>
      </c>
      <c r="E136" s="17" t="inlineStr">
        <is>
          <t>Hard</t>
        </is>
      </c>
      <c r="F136" s="17" t="inlineStr">
        <is>
          <t>NeetCode 150</t>
        </is>
      </c>
      <c r="G136" s="18" t="n"/>
      <c r="H136" s="21" t="n"/>
      <c r="I136" s="21" t="n"/>
      <c r="J136" s="21" t="n"/>
      <c r="K136" s="17">
        <f>IF(G136="","Not started",IF(J136&lt;&gt;"","Mastered",IF(G136="Solo","Solved","Review "&amp;IF(I136&lt;&gt;"",3,IF(H136&lt;&gt;"",2,1))&amp;IF(AND(ISNUMBER(M136),M136&gt;TODAY())," scheduled"," due"))))</f>
        <v/>
      </c>
      <c r="L136" s="21"/>
      <c r="M136" s="22">
        <f>IF(OR(G136="",G136="Solo",J136&lt;&gt;"",NOT(ISNUMBER(L136))),"",MAX(L136,H136,I136)+IF(I136&lt;&gt;"",21,IF(H136&lt;&gt;"",7,3)))</f>
        <v/>
      </c>
      <c r="N136" s="19" t="n"/>
      <c r="O136" s="19" t="n"/>
    </row>
    <row r="137">
      <c r="A137" s="17" t="n">
        <v>136</v>
      </c>
      <c r="B137" s="17" t="inlineStr">
        <is>
          <t>3 · DP &amp; advanced</t>
        </is>
      </c>
      <c r="C137" s="17" t="inlineStr">
        <is>
          <t>Tries</t>
        </is>
      </c>
      <c r="D137" s="17" t="inlineStr">
        <is>
          <t>Implement Trie (Prefix Tree)</t>
        </is>
      </c>
      <c r="E137" s="17" t="inlineStr">
        <is>
          <t>Medium</t>
        </is>
      </c>
      <c r="F137" s="17" t="inlineStr">
        <is>
          <t>NeetCode 150</t>
        </is>
      </c>
      <c r="G137" s="18" t="n"/>
      <c r="H137" s="21" t="n"/>
      <c r="I137" s="21" t="n"/>
      <c r="J137" s="21" t="n"/>
      <c r="K137" s="17">
        <f>IF(G137="","Not started",IF(J137&lt;&gt;"","Mastered",IF(G137="Solo","Solved","Review "&amp;IF(I137&lt;&gt;"",3,IF(H137&lt;&gt;"",2,1))&amp;IF(AND(ISNUMBER(M137),M137&gt;TODAY())," scheduled"," due"))))</f>
        <v/>
      </c>
      <c r="L137" s="21"/>
      <c r="M137" s="22">
        <f>IF(OR(G137="",G137="Solo",J137&lt;&gt;"",NOT(ISNUMBER(L137))),"",MAX(L137,H137,I137)+IF(I137&lt;&gt;"",21,IF(H137&lt;&gt;"",7,3)))</f>
        <v/>
      </c>
      <c r="N137" s="19" t="n"/>
      <c r="O137" s="19" t="n"/>
    </row>
    <row r="138">
      <c r="A138" s="17" t="n">
        <v>137</v>
      </c>
      <c r="B138" s="17" t="inlineStr">
        <is>
          <t>3 · DP &amp; advanced</t>
        </is>
      </c>
      <c r="C138" s="17" t="inlineStr">
        <is>
          <t>Tries</t>
        </is>
      </c>
      <c r="D138" s="17" t="inlineStr">
        <is>
          <t>Design Add and Search Words Data Structure</t>
        </is>
      </c>
      <c r="E138" s="17" t="inlineStr">
        <is>
          <t>Medium</t>
        </is>
      </c>
      <c r="F138" s="17" t="inlineStr">
        <is>
          <t>NeetCode 150</t>
        </is>
      </c>
      <c r="G138" s="18" t="n"/>
      <c r="H138" s="21" t="n"/>
      <c r="I138" s="21" t="n"/>
      <c r="J138" s="21" t="n"/>
      <c r="K138" s="17">
        <f>IF(G138="","Not started",IF(J138&lt;&gt;"","Mastered",IF(G138="Solo","Solved","Review "&amp;IF(I138&lt;&gt;"",3,IF(H138&lt;&gt;"",2,1))&amp;IF(AND(ISNUMBER(M138),M138&gt;TODAY())," scheduled"," due"))))</f>
        <v/>
      </c>
      <c r="L138" s="21"/>
      <c r="M138" s="22">
        <f>IF(OR(G138="",G138="Solo",J138&lt;&gt;"",NOT(ISNUMBER(L138))),"",MAX(L138,H138,I138)+IF(I138&lt;&gt;"",21,IF(H138&lt;&gt;"",7,3)))</f>
        <v/>
      </c>
      <c r="N138" s="19" t="n"/>
      <c r="O138" s="19" t="n"/>
    </row>
    <row r="139">
      <c r="A139" s="17" t="n">
        <v>138</v>
      </c>
      <c r="B139" s="17" t="inlineStr">
        <is>
          <t>3 · DP &amp; advanced</t>
        </is>
      </c>
      <c r="C139" s="17" t="inlineStr">
        <is>
          <t>Tries</t>
        </is>
      </c>
      <c r="D139" s="17" t="inlineStr">
        <is>
          <t>Word Search II</t>
        </is>
      </c>
      <c r="E139" s="17" t="inlineStr">
        <is>
          <t>Hard</t>
        </is>
      </c>
      <c r="F139" s="17" t="inlineStr">
        <is>
          <t>NeetCode 150</t>
        </is>
      </c>
      <c r="G139" s="18" t="n"/>
      <c r="H139" s="21" t="n"/>
      <c r="I139" s="21" t="n"/>
      <c r="J139" s="21" t="n"/>
      <c r="K139" s="17">
        <f>IF(G139="","Not started",IF(J139&lt;&gt;"","Mastered",IF(G139="Solo","Solved","Review "&amp;IF(I139&lt;&gt;"",3,IF(H139&lt;&gt;"",2,1))&amp;IF(AND(ISNUMBER(M139),M139&gt;TODAY())," scheduled"," due"))))</f>
        <v/>
      </c>
      <c r="L139" s="21"/>
      <c r="M139" s="22">
        <f>IF(OR(G139="",G139="Solo",J139&lt;&gt;"",NOT(ISNUMBER(L139))),"",MAX(L139,H139,I139)+IF(I139&lt;&gt;"",21,IF(H139&lt;&gt;"",7,3)))</f>
        <v/>
      </c>
      <c r="N139" s="19" t="n"/>
      <c r="O139" s="19" t="n"/>
    </row>
    <row r="140">
      <c r="A140" s="17" t="n">
        <v>139</v>
      </c>
      <c r="B140" s="17" t="inlineStr">
        <is>
          <t>3 · DP &amp; advanced</t>
        </is>
      </c>
      <c r="C140" s="17" t="inlineStr">
        <is>
          <t>Bit Manipulation</t>
        </is>
      </c>
      <c r="D140" s="17" t="inlineStr">
        <is>
          <t>Single Number</t>
        </is>
      </c>
      <c r="E140" s="17" t="inlineStr">
        <is>
          <t>Easy</t>
        </is>
      </c>
      <c r="F140" s="17" t="inlineStr">
        <is>
          <t>NeetCode 150</t>
        </is>
      </c>
      <c r="G140" s="18" t="n"/>
      <c r="H140" s="21" t="n"/>
      <c r="I140" s="21" t="n"/>
      <c r="J140" s="21" t="n"/>
      <c r="K140" s="17">
        <f>IF(G140="","Not started",IF(J140&lt;&gt;"","Mastered",IF(G140="Solo","Solved","Review "&amp;IF(I140&lt;&gt;"",3,IF(H140&lt;&gt;"",2,1))&amp;IF(AND(ISNUMBER(M140),M140&gt;TODAY())," scheduled"," due"))))</f>
        <v/>
      </c>
      <c r="L140" s="21"/>
      <c r="M140" s="22">
        <f>IF(OR(G140="",G140="Solo",J140&lt;&gt;"",NOT(ISNUMBER(L140))),"",MAX(L140,H140,I140)+IF(I140&lt;&gt;"",21,IF(H140&lt;&gt;"",7,3)))</f>
        <v/>
      </c>
      <c r="N140" s="19" t="n"/>
      <c r="O140" s="19" t="n"/>
    </row>
    <row r="141">
      <c r="A141" s="17" t="n">
        <v>140</v>
      </c>
      <c r="B141" s="17" t="inlineStr">
        <is>
          <t>3 · DP &amp; advanced</t>
        </is>
      </c>
      <c r="C141" s="17" t="inlineStr">
        <is>
          <t>Bit Manipulation</t>
        </is>
      </c>
      <c r="D141" s="17" t="inlineStr">
        <is>
          <t>Number of 1 Bits</t>
        </is>
      </c>
      <c r="E141" s="17" t="inlineStr">
        <is>
          <t>Easy</t>
        </is>
      </c>
      <c r="F141" s="17" t="inlineStr">
        <is>
          <t>NeetCode 150</t>
        </is>
      </c>
      <c r="G141" s="18" t="n"/>
      <c r="H141" s="21" t="n"/>
      <c r="I141" s="21" t="n"/>
      <c r="J141" s="21" t="n"/>
      <c r="K141" s="17">
        <f>IF(G141="","Not started",IF(J141&lt;&gt;"","Mastered",IF(G141="Solo","Solved","Review "&amp;IF(I141&lt;&gt;"",3,IF(H141&lt;&gt;"",2,1))&amp;IF(AND(ISNUMBER(M141),M141&gt;TODAY())," scheduled"," due"))))</f>
        <v/>
      </c>
      <c r="L141" s="21"/>
      <c r="M141" s="22">
        <f>IF(OR(G141="",G141="Solo",J141&lt;&gt;"",NOT(ISNUMBER(L141))),"",MAX(L141,H141,I141)+IF(I141&lt;&gt;"",21,IF(H141&lt;&gt;"",7,3)))</f>
        <v/>
      </c>
      <c r="N141" s="19" t="n"/>
      <c r="O141" s="19" t="n"/>
    </row>
    <row r="142">
      <c r="A142" s="17" t="n">
        <v>141</v>
      </c>
      <c r="B142" s="17" t="inlineStr">
        <is>
          <t>3 · DP &amp; advanced</t>
        </is>
      </c>
      <c r="C142" s="17" t="inlineStr">
        <is>
          <t>Bit Manipulation</t>
        </is>
      </c>
      <c r="D142" s="17" t="inlineStr">
        <is>
          <t>Counting Bits</t>
        </is>
      </c>
      <c r="E142" s="17" t="inlineStr">
        <is>
          <t>Easy</t>
        </is>
      </c>
      <c r="F142" s="17" t="inlineStr">
        <is>
          <t>NeetCode 150</t>
        </is>
      </c>
      <c r="G142" s="18" t="n"/>
      <c r="H142" s="21" t="n"/>
      <c r="I142" s="21" t="n"/>
      <c r="J142" s="21" t="n"/>
      <c r="K142" s="17">
        <f>IF(G142="","Not started",IF(J142&lt;&gt;"","Mastered",IF(G142="Solo","Solved","Review "&amp;IF(I142&lt;&gt;"",3,IF(H142&lt;&gt;"",2,1))&amp;IF(AND(ISNUMBER(M142),M142&gt;TODAY())," scheduled"," due"))))</f>
        <v/>
      </c>
      <c r="L142" s="21"/>
      <c r="M142" s="22">
        <f>IF(OR(G142="",G142="Solo",J142&lt;&gt;"",NOT(ISNUMBER(L142))),"",MAX(L142,H142,I142)+IF(I142&lt;&gt;"",21,IF(H142&lt;&gt;"",7,3)))</f>
        <v/>
      </c>
      <c r="N142" s="19" t="n"/>
      <c r="O142" s="19" t="n"/>
    </row>
    <row r="143">
      <c r="A143" s="17" t="n">
        <v>142</v>
      </c>
      <c r="B143" s="17" t="inlineStr">
        <is>
          <t>3 · DP &amp; advanced</t>
        </is>
      </c>
      <c r="C143" s="17" t="inlineStr">
        <is>
          <t>Bit Manipulation</t>
        </is>
      </c>
      <c r="D143" s="17" t="inlineStr">
        <is>
          <t>Reverse Bits</t>
        </is>
      </c>
      <c r="E143" s="17" t="inlineStr">
        <is>
          <t>Easy</t>
        </is>
      </c>
      <c r="F143" s="17" t="inlineStr">
        <is>
          <t>NeetCode 150</t>
        </is>
      </c>
      <c r="G143" s="18" t="n"/>
      <c r="H143" s="21" t="n"/>
      <c r="I143" s="21" t="n"/>
      <c r="J143" s="21" t="n"/>
      <c r="K143" s="17">
        <f>IF(G143="","Not started",IF(J143&lt;&gt;"","Mastered",IF(G143="Solo","Solved","Review "&amp;IF(I143&lt;&gt;"",3,IF(H143&lt;&gt;"",2,1))&amp;IF(AND(ISNUMBER(M143),M143&gt;TODAY())," scheduled"," due"))))</f>
        <v/>
      </c>
      <c r="L143" s="21"/>
      <c r="M143" s="22">
        <f>IF(OR(G143="",G143="Solo",J143&lt;&gt;"",NOT(ISNUMBER(L143))),"",MAX(L143,H143,I143)+IF(I143&lt;&gt;"",21,IF(H143&lt;&gt;"",7,3)))</f>
        <v/>
      </c>
      <c r="N143" s="19" t="n"/>
      <c r="O143" s="19" t="n"/>
    </row>
    <row r="144">
      <c r="A144" s="17" t="n">
        <v>143</v>
      </c>
      <c r="B144" s="17" t="inlineStr">
        <is>
          <t>3 · DP &amp; advanced</t>
        </is>
      </c>
      <c r="C144" s="17" t="inlineStr">
        <is>
          <t>Bit Manipulation</t>
        </is>
      </c>
      <c r="D144" s="17" t="inlineStr">
        <is>
          <t>Missing Number</t>
        </is>
      </c>
      <c r="E144" s="17" t="inlineStr">
        <is>
          <t>Easy</t>
        </is>
      </c>
      <c r="F144" s="17" t="inlineStr">
        <is>
          <t>NeetCode 150</t>
        </is>
      </c>
      <c r="G144" s="18" t="n"/>
      <c r="H144" s="21" t="n"/>
      <c r="I144" s="21" t="n"/>
      <c r="J144" s="21" t="n"/>
      <c r="K144" s="17">
        <f>IF(G144="","Not started",IF(J144&lt;&gt;"","Mastered",IF(G144="Solo","Solved","Review "&amp;IF(I144&lt;&gt;"",3,IF(H144&lt;&gt;"",2,1))&amp;IF(AND(ISNUMBER(M144),M144&gt;TODAY())," scheduled"," due"))))</f>
        <v/>
      </c>
      <c r="L144" s="21"/>
      <c r="M144" s="22">
        <f>IF(OR(G144="",G144="Solo",J144&lt;&gt;"",NOT(ISNUMBER(L144))),"",MAX(L144,H144,I144)+IF(I144&lt;&gt;"",21,IF(H144&lt;&gt;"",7,3)))</f>
        <v/>
      </c>
      <c r="N144" s="19" t="n"/>
      <c r="O144" s="19" t="n"/>
    </row>
    <row r="145">
      <c r="A145" s="17" t="n">
        <v>144</v>
      </c>
      <c r="B145" s="17" t="inlineStr">
        <is>
          <t>3 · DP &amp; advanced</t>
        </is>
      </c>
      <c r="C145" s="17" t="inlineStr">
        <is>
          <t>Bit Manipulation</t>
        </is>
      </c>
      <c r="D145" s="17" t="inlineStr">
        <is>
          <t>Sum of Two Integers</t>
        </is>
      </c>
      <c r="E145" s="17" t="inlineStr">
        <is>
          <t>Medium</t>
        </is>
      </c>
      <c r="F145" s="17" t="inlineStr">
        <is>
          <t>NeetCode 150</t>
        </is>
      </c>
      <c r="G145" s="18" t="n"/>
      <c r="H145" s="21" t="n"/>
      <c r="I145" s="21" t="n"/>
      <c r="J145" s="21" t="n"/>
      <c r="K145" s="17">
        <f>IF(G145="","Not started",IF(J145&lt;&gt;"","Mastered",IF(G145="Solo","Solved","Review "&amp;IF(I145&lt;&gt;"",3,IF(H145&lt;&gt;"",2,1))&amp;IF(AND(ISNUMBER(M145),M145&gt;TODAY())," scheduled"," due"))))</f>
        <v/>
      </c>
      <c r="L145" s="21"/>
      <c r="M145" s="22">
        <f>IF(OR(G145="",G145="Solo",J145&lt;&gt;"",NOT(ISNUMBER(L145))),"",MAX(L145,H145,I145)+IF(I145&lt;&gt;"",21,IF(H145&lt;&gt;"",7,3)))</f>
        <v/>
      </c>
      <c r="N145" s="19" t="n"/>
      <c r="O145" s="19" t="n"/>
    </row>
    <row r="146">
      <c r="A146" s="17" t="n">
        <v>145</v>
      </c>
      <c r="B146" s="17" t="inlineStr">
        <is>
          <t>3 · DP &amp; advanced</t>
        </is>
      </c>
      <c r="C146" s="17" t="inlineStr">
        <is>
          <t>Bit Manipulation</t>
        </is>
      </c>
      <c r="D146" s="17" t="inlineStr">
        <is>
          <t>Reverse Integer</t>
        </is>
      </c>
      <c r="E146" s="17" t="inlineStr">
        <is>
          <t>Medium</t>
        </is>
      </c>
      <c r="F146" s="17" t="inlineStr">
        <is>
          <t>NeetCode 150</t>
        </is>
      </c>
      <c r="G146" s="18" t="n"/>
      <c r="H146" s="21" t="n"/>
      <c r="I146" s="21" t="n"/>
      <c r="J146" s="21" t="n"/>
      <c r="K146" s="17">
        <f>IF(G146="","Not started",IF(J146&lt;&gt;"","Mastered",IF(G146="Solo","Solved","Review "&amp;IF(I146&lt;&gt;"",3,IF(H146&lt;&gt;"",2,1))&amp;IF(AND(ISNUMBER(M146),M146&gt;TODAY())," scheduled"," due"))))</f>
        <v/>
      </c>
      <c r="L146" s="21"/>
      <c r="M146" s="22">
        <f>IF(OR(G146="",G146="Solo",J146&lt;&gt;"",NOT(ISNUMBER(L146))),"",MAX(L146,H146,I146)+IF(I146&lt;&gt;"",21,IF(H146&lt;&gt;"",7,3)))</f>
        <v/>
      </c>
      <c r="N146" s="19" t="n"/>
      <c r="O146" s="19" t="n"/>
    </row>
    <row r="147">
      <c r="A147" s="17" t="n">
        <v>146</v>
      </c>
      <c r="B147" s="17" t="inlineStr">
        <is>
          <t>3 · DP &amp; advanced</t>
        </is>
      </c>
      <c r="C147" s="17" t="inlineStr">
        <is>
          <t>Math &amp; Geometry</t>
        </is>
      </c>
      <c r="D147" s="17" t="inlineStr">
        <is>
          <t>Happy Number</t>
        </is>
      </c>
      <c r="E147" s="17" t="inlineStr">
        <is>
          <t>Easy</t>
        </is>
      </c>
      <c r="F147" s="17" t="inlineStr">
        <is>
          <t>NeetCode 150</t>
        </is>
      </c>
      <c r="G147" s="18" t="n"/>
      <c r="H147" s="21" t="n"/>
      <c r="I147" s="21" t="n"/>
      <c r="J147" s="21" t="n"/>
      <c r="K147" s="17">
        <f>IF(G147="","Not started",IF(J147&lt;&gt;"","Mastered",IF(G147="Solo","Solved","Review "&amp;IF(I147&lt;&gt;"",3,IF(H147&lt;&gt;"",2,1))&amp;IF(AND(ISNUMBER(M147),M147&gt;TODAY())," scheduled"," due"))))</f>
        <v/>
      </c>
      <c r="L147" s="21"/>
      <c r="M147" s="22">
        <f>IF(OR(G147="",G147="Solo",J147&lt;&gt;"",NOT(ISNUMBER(L147))),"",MAX(L147,H147,I147)+IF(I147&lt;&gt;"",21,IF(H147&lt;&gt;"",7,3)))</f>
        <v/>
      </c>
      <c r="N147" s="19" t="n"/>
      <c r="O147" s="19" t="n"/>
    </row>
    <row r="148">
      <c r="A148" s="17" t="n">
        <v>147</v>
      </c>
      <c r="B148" s="17" t="inlineStr">
        <is>
          <t>3 · DP &amp; advanced</t>
        </is>
      </c>
      <c r="C148" s="17" t="inlineStr">
        <is>
          <t>Math &amp; Geometry</t>
        </is>
      </c>
      <c r="D148" s="17" t="inlineStr">
        <is>
          <t>Plus One</t>
        </is>
      </c>
      <c r="E148" s="17" t="inlineStr">
        <is>
          <t>Easy</t>
        </is>
      </c>
      <c r="F148" s="17" t="inlineStr">
        <is>
          <t>NeetCode 150</t>
        </is>
      </c>
      <c r="G148" s="18" t="n"/>
      <c r="H148" s="21" t="n"/>
      <c r="I148" s="21" t="n"/>
      <c r="J148" s="21" t="n"/>
      <c r="K148" s="17">
        <f>IF(G148="","Not started",IF(J148&lt;&gt;"","Mastered",IF(G148="Solo","Solved","Review "&amp;IF(I148&lt;&gt;"",3,IF(H148&lt;&gt;"",2,1))&amp;IF(AND(ISNUMBER(M148),M148&gt;TODAY())," scheduled"," due"))))</f>
        <v/>
      </c>
      <c r="L148" s="21"/>
      <c r="M148" s="22">
        <f>IF(OR(G148="",G148="Solo",J148&lt;&gt;"",NOT(ISNUMBER(L148))),"",MAX(L148,H148,I148)+IF(I148&lt;&gt;"",21,IF(H148&lt;&gt;"",7,3)))</f>
        <v/>
      </c>
      <c r="N148" s="19" t="n"/>
      <c r="O148" s="19" t="n"/>
    </row>
    <row r="149">
      <c r="A149" s="17" t="n">
        <v>148</v>
      </c>
      <c r="B149" s="17" t="inlineStr">
        <is>
          <t>3 · DP &amp; advanced</t>
        </is>
      </c>
      <c r="C149" s="17" t="inlineStr">
        <is>
          <t>Math &amp; Geometry</t>
        </is>
      </c>
      <c r="D149" s="17" t="inlineStr">
        <is>
          <t>Rotate Image</t>
        </is>
      </c>
      <c r="E149" s="17" t="inlineStr">
        <is>
          <t>Medium</t>
        </is>
      </c>
      <c r="F149" s="17" t="inlineStr">
        <is>
          <t>NeetCode 150</t>
        </is>
      </c>
      <c r="G149" s="18" t="n"/>
      <c r="H149" s="21" t="n"/>
      <c r="I149" s="21" t="n"/>
      <c r="J149" s="21" t="n"/>
      <c r="K149" s="17">
        <f>IF(G149="","Not started",IF(J149&lt;&gt;"","Mastered",IF(G149="Solo","Solved","Review "&amp;IF(I149&lt;&gt;"",3,IF(H149&lt;&gt;"",2,1))&amp;IF(AND(ISNUMBER(M149),M149&gt;TODAY())," scheduled"," due"))))</f>
        <v/>
      </c>
      <c r="L149" s="21"/>
      <c r="M149" s="22">
        <f>IF(OR(G149="",G149="Solo",J149&lt;&gt;"",NOT(ISNUMBER(L149))),"",MAX(L149,H149,I149)+IF(I149&lt;&gt;"",21,IF(H149&lt;&gt;"",7,3)))</f>
        <v/>
      </c>
      <c r="N149" s="19" t="n"/>
      <c r="O149" s="19" t="n"/>
    </row>
    <row r="150">
      <c r="A150" s="17" t="n">
        <v>149</v>
      </c>
      <c r="B150" s="17" t="inlineStr">
        <is>
          <t>3 · DP &amp; advanced</t>
        </is>
      </c>
      <c r="C150" s="17" t="inlineStr">
        <is>
          <t>Math &amp; Geometry</t>
        </is>
      </c>
      <c r="D150" s="17" t="inlineStr">
        <is>
          <t>Spiral Matrix</t>
        </is>
      </c>
      <c r="E150" s="17" t="inlineStr">
        <is>
          <t>Medium</t>
        </is>
      </c>
      <c r="F150" s="17" t="inlineStr">
        <is>
          <t>NeetCode 150</t>
        </is>
      </c>
      <c r="G150" s="18" t="n"/>
      <c r="H150" s="21" t="n"/>
      <c r="I150" s="21" t="n"/>
      <c r="J150" s="21" t="n"/>
      <c r="K150" s="17">
        <f>IF(G150="","Not started",IF(J150&lt;&gt;"","Mastered",IF(G150="Solo","Solved","Review "&amp;IF(I150&lt;&gt;"",3,IF(H150&lt;&gt;"",2,1))&amp;IF(AND(ISNUMBER(M150),M150&gt;TODAY())," scheduled"," due"))))</f>
        <v/>
      </c>
      <c r="L150" s="21"/>
      <c r="M150" s="22">
        <f>IF(OR(G150="",G150="Solo",J150&lt;&gt;"",NOT(ISNUMBER(L150))),"",MAX(L150,H150,I150)+IF(I150&lt;&gt;"",21,IF(H150&lt;&gt;"",7,3)))</f>
        <v/>
      </c>
      <c r="N150" s="19" t="n"/>
      <c r="O150" s="19" t="n"/>
    </row>
    <row r="151">
      <c r="A151" s="17" t="n">
        <v>150</v>
      </c>
      <c r="B151" s="17" t="inlineStr">
        <is>
          <t>3 · DP &amp; advanced</t>
        </is>
      </c>
      <c r="C151" s="17" t="inlineStr">
        <is>
          <t>Math &amp; Geometry</t>
        </is>
      </c>
      <c r="D151" s="17" t="inlineStr">
        <is>
          <t>Set Matrix Zeroes</t>
        </is>
      </c>
      <c r="E151" s="17" t="inlineStr">
        <is>
          <t>Medium</t>
        </is>
      </c>
      <c r="F151" s="17" t="inlineStr">
        <is>
          <t>NeetCode 150</t>
        </is>
      </c>
      <c r="G151" s="18" t="n"/>
      <c r="H151" s="21" t="n"/>
      <c r="I151" s="21" t="n"/>
      <c r="J151" s="21" t="n"/>
      <c r="K151" s="17">
        <f>IF(G151="","Not started",IF(J151&lt;&gt;"","Mastered",IF(G151="Solo","Solved","Review "&amp;IF(I151&lt;&gt;"",3,IF(H151&lt;&gt;"",2,1))&amp;IF(AND(ISNUMBER(M151),M151&gt;TODAY())," scheduled"," due"))))</f>
        <v/>
      </c>
      <c r="L151" s="21"/>
      <c r="M151" s="22">
        <f>IF(OR(G151="",G151="Solo",J151&lt;&gt;"",NOT(ISNUMBER(L151))),"",MAX(L151,H151,I151)+IF(I151&lt;&gt;"",21,IF(H151&lt;&gt;"",7,3)))</f>
        <v/>
      </c>
      <c r="N151" s="19" t="n"/>
      <c r="O151" s="19" t="n"/>
    </row>
    <row r="152">
      <c r="A152" s="17" t="n">
        <v>151</v>
      </c>
      <c r="B152" s="17" t="inlineStr">
        <is>
          <t>3 · DP &amp; advanced</t>
        </is>
      </c>
      <c r="C152" s="17" t="inlineStr">
        <is>
          <t>Math &amp; Geometry</t>
        </is>
      </c>
      <c r="D152" s="17" t="inlineStr">
        <is>
          <t>Pow(x, n)</t>
        </is>
      </c>
      <c r="E152" s="17" t="inlineStr">
        <is>
          <t>Medium</t>
        </is>
      </c>
      <c r="F152" s="17" t="inlineStr">
        <is>
          <t>NeetCode 150</t>
        </is>
      </c>
      <c r="G152" s="18" t="n"/>
      <c r="H152" s="21" t="n"/>
      <c r="I152" s="21" t="n"/>
      <c r="J152" s="21" t="n"/>
      <c r="K152" s="17">
        <f>IF(G152="","Not started",IF(J152&lt;&gt;"","Mastered",IF(G152="Solo","Solved","Review "&amp;IF(I152&lt;&gt;"",3,IF(H152&lt;&gt;"",2,1))&amp;IF(AND(ISNUMBER(M152),M152&gt;TODAY())," scheduled"," due"))))</f>
        <v/>
      </c>
      <c r="L152" s="21"/>
      <c r="M152" s="22">
        <f>IF(OR(G152="",G152="Solo",J152&lt;&gt;"",NOT(ISNUMBER(L152))),"",MAX(L152,H152,I152)+IF(I152&lt;&gt;"",21,IF(H152&lt;&gt;"",7,3)))</f>
        <v/>
      </c>
      <c r="N152" s="19" t="n"/>
      <c r="O152" s="19" t="n"/>
    </row>
    <row r="153">
      <c r="A153" s="17" t="n">
        <v>152</v>
      </c>
      <c r="B153" s="17" t="inlineStr">
        <is>
          <t>3 · DP &amp; advanced</t>
        </is>
      </c>
      <c r="C153" s="17" t="inlineStr">
        <is>
          <t>Math &amp; Geometry</t>
        </is>
      </c>
      <c r="D153" s="17" t="inlineStr">
        <is>
          <t>Multiply Strings</t>
        </is>
      </c>
      <c r="E153" s="17" t="inlineStr">
        <is>
          <t>Medium</t>
        </is>
      </c>
      <c r="F153" s="17" t="inlineStr">
        <is>
          <t>NeetCode 150</t>
        </is>
      </c>
      <c r="G153" s="18" t="n"/>
      <c r="H153" s="21" t="n"/>
      <c r="I153" s="21" t="n"/>
      <c r="J153" s="21" t="n"/>
      <c r="K153" s="17">
        <f>IF(G153="","Not started",IF(J153&lt;&gt;"","Mastered",IF(G153="Solo","Solved","Review "&amp;IF(I153&lt;&gt;"",3,IF(H153&lt;&gt;"",2,1))&amp;IF(AND(ISNUMBER(M153),M153&gt;TODAY())," scheduled"," due"))))</f>
        <v/>
      </c>
      <c r="L153" s="21"/>
      <c r="M153" s="22">
        <f>IF(OR(G153="",G153="Solo",J153&lt;&gt;"",NOT(ISNUMBER(L153))),"",MAX(L153,H153,I153)+IF(I153&lt;&gt;"",21,IF(H153&lt;&gt;"",7,3)))</f>
        <v/>
      </c>
      <c r="N153" s="19" t="n"/>
      <c r="O153" s="19" t="n"/>
    </row>
    <row r="154">
      <c r="A154" s="17" t="n">
        <v>153</v>
      </c>
      <c r="B154" s="17" t="inlineStr">
        <is>
          <t>3 · DP &amp; advanced</t>
        </is>
      </c>
      <c r="C154" s="17" t="inlineStr">
        <is>
          <t>Math &amp; Geometry</t>
        </is>
      </c>
      <c r="D154" s="17" t="inlineStr">
        <is>
          <t>Detect Squares</t>
        </is>
      </c>
      <c r="E154" s="17" t="inlineStr">
        <is>
          <t>Medium</t>
        </is>
      </c>
      <c r="F154" s="17" t="inlineStr">
        <is>
          <t>NeetCode 150</t>
        </is>
      </c>
      <c r="G154" s="18" t="n"/>
      <c r="H154" s="21" t="n"/>
      <c r="I154" s="21" t="n"/>
      <c r="J154" s="21" t="n"/>
      <c r="K154" s="17">
        <f>IF(G154="","Not started",IF(J154&lt;&gt;"","Mastered",IF(G154="Solo","Solved","Review "&amp;IF(I154&lt;&gt;"",3,IF(H154&lt;&gt;"",2,1))&amp;IF(AND(ISNUMBER(M154),M154&gt;TODAY())," scheduled"," due"))))</f>
        <v/>
      </c>
      <c r="L154" s="21"/>
      <c r="M154" s="22">
        <f>IF(OR(G154="",G154="Solo",J154&lt;&gt;"",NOT(ISNUMBER(L154))),"",MAX(L154,H154,I154)+IF(I154&lt;&gt;"",21,IF(H154&lt;&gt;"",7,3)))</f>
        <v/>
      </c>
      <c r="N154" s="19" t="n"/>
      <c r="O154" s="19" t="n"/>
    </row>
  </sheetData>
  <autoFilter ref="A1:O154"/>
  <conditionalFormatting sqref="K2:K154">
    <cfRule type="expression" priority="1" dxfId="0">
      <formula>ISNUMBER(SEARCH("Mastered",$K2))</formula>
    </cfRule>
    <cfRule type="expression" priority="2" dxfId="1">
      <formula>ISNUMBER(SEARCH("Solved",$K2))</formula>
    </cfRule>
    <cfRule type="expression" priority="3" dxfId="2">
      <formula>ISNUMBER(SEARCH("due",$K2))</formula>
    </cfRule>
  </conditionalFormatting>
  <conditionalFormatting sqref="E2:E154">
    <cfRule type="expression" priority="4" dxfId="3">
      <formula>$E2="Easy"</formula>
    </cfRule>
    <cfRule type="expression" priority="5" dxfId="4">
      <formula>$E2="Medium"</formula>
    </cfRule>
    <cfRule type="expression" priority="6" dxfId="5">
      <formula>$E2="Hard"</formula>
    </cfRule>
  </conditionalFormatting>
  <dataValidations count="2">
    <dataValidation sqref="G2:G154" showDropDown="0" showInputMessage="0" showErrorMessage="1" allowBlank="1" type="list" errorTitle="Result" error="Pick Solo, Hint or Solution from the list, or leave it empty.">
      <formula1>"Solo,Hint,Solution"</formula1>
    </dataValidation>
    <dataValidation sqref="H2:J154 L2:L154" showDropDown="0" showInputMessage="0" showErrorMessage="1" allowBlank="1" type="date" operator="greaterThan" errorTitle="Date" error="Enter a date, e.g. 2026-10-08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5" customWidth="1" min="2" max="2"/>
    <col width="60" customWidth="1" min="3" max="3"/>
    <col width="40" customWidth="1" min="4" max="4"/>
    <col width="18" customWidth="1" min="5" max="5"/>
  </cols>
  <sheetData>
    <row r="1">
      <c r="A1" s="11" t="inlineStr">
        <is>
          <t>Topic</t>
        </is>
      </c>
      <c r="B1" s="11" t="inlineStr">
        <is>
          <t>Clues that signal it</t>
        </is>
      </c>
      <c r="C1" s="11" t="inlineStr">
        <is>
          <t>Template (Swift)</t>
        </is>
      </c>
      <c r="D1" s="11" t="inlineStr">
        <is>
          <t>Common mistakes</t>
        </is>
      </c>
      <c r="E1" s="11" t="inlineStr">
        <is>
          <t>Complexity</t>
        </is>
      </c>
    </row>
    <row r="2">
      <c r="A2" s="20" t="inlineStr">
        <is>
          <t>Arrays &amp; Hashing</t>
        </is>
      </c>
      <c r="B2" s="19" t="n"/>
      <c r="C2" s="19" t="n"/>
      <c r="D2" s="19" t="n"/>
      <c r="E2" s="19" t="n"/>
    </row>
    <row r="3">
      <c r="A3" s="20" t="inlineStr">
        <is>
          <t>Two Pointers</t>
        </is>
      </c>
      <c r="B3" s="19" t="n"/>
      <c r="C3" s="19" t="n"/>
      <c r="D3" s="19" t="n"/>
      <c r="E3" s="19" t="n"/>
    </row>
    <row r="4" ht="95" customHeight="1">
      <c r="A4" s="20" t="inlineStr">
        <is>
          <t>Sliding Window</t>
        </is>
      </c>
      <c r="B4" s="19" t="inlineStr">
        <is>
          <t>Contiguous subarray/substring; 'longest/shortest/at most K'; values can be scanned once</t>
        </is>
      </c>
      <c r="C4" s="19" t="inlineStr">
        <is>
          <t>var l = 0
for r in 0..&lt;a.count {
  add(a[r])
  while !valid { remove(a[l]); l += 1 }
  best = max(best, r - l + 1)
}</t>
        </is>
      </c>
      <c r="D4" s="19" t="inlineStr">
        <is>
          <t>Shrinking with if instead of while; forgetting to remove a[l] from the counts</t>
        </is>
      </c>
      <c r="E4" s="19" t="inlineStr">
        <is>
          <t>O(n) time, O(k) space</t>
        </is>
      </c>
    </row>
    <row r="5">
      <c r="A5" s="20" t="inlineStr">
        <is>
          <t>Prefix Sums</t>
        </is>
      </c>
      <c r="B5" s="19" t="n"/>
      <c r="C5" s="19" t="n"/>
      <c r="D5" s="19" t="n"/>
      <c r="E5" s="19" t="n"/>
    </row>
    <row r="6">
      <c r="A6" s="20" t="inlineStr">
        <is>
          <t>Stack</t>
        </is>
      </c>
      <c r="B6" s="19" t="n"/>
      <c r="C6" s="19" t="n"/>
      <c r="D6" s="19" t="n"/>
      <c r="E6" s="19" t="n"/>
    </row>
    <row r="7">
      <c r="A7" s="20" t="inlineStr">
        <is>
          <t>Binary Search</t>
        </is>
      </c>
      <c r="B7" s="19" t="n"/>
      <c r="C7" s="19" t="n"/>
      <c r="D7" s="19" t="n"/>
      <c r="E7" s="19" t="n"/>
    </row>
    <row r="8">
      <c r="A8" s="20" t="inlineStr">
        <is>
          <t>Linked List</t>
        </is>
      </c>
      <c r="B8" s="19" t="n"/>
      <c r="C8" s="19" t="n"/>
      <c r="D8" s="19" t="n"/>
      <c r="E8" s="19" t="n"/>
    </row>
    <row r="9">
      <c r="A9" s="20" t="inlineStr">
        <is>
          <t>Intervals</t>
        </is>
      </c>
      <c r="B9" s="19" t="n"/>
      <c r="C9" s="19" t="n"/>
      <c r="D9" s="19" t="n"/>
      <c r="E9" s="19" t="n"/>
    </row>
    <row r="10">
      <c r="A10" s="20" t="inlineStr">
        <is>
          <t>Trees</t>
        </is>
      </c>
      <c r="B10" s="19" t="n"/>
      <c r="C10" s="19" t="n"/>
      <c r="D10" s="19" t="n"/>
      <c r="E10" s="19" t="n"/>
    </row>
    <row r="11">
      <c r="A11" s="20" t="inlineStr">
        <is>
          <t>Heap / Priority Queue</t>
        </is>
      </c>
      <c r="B11" s="19" t="n"/>
      <c r="C11" s="19" t="n"/>
      <c r="D11" s="19" t="n"/>
      <c r="E11" s="19" t="n"/>
    </row>
    <row r="12">
      <c r="A12" s="20" t="inlineStr">
        <is>
          <t>Backtracking</t>
        </is>
      </c>
      <c r="B12" s="19" t="n"/>
      <c r="C12" s="19" t="n"/>
      <c r="D12" s="19" t="n"/>
      <c r="E12" s="19" t="n"/>
    </row>
    <row r="13">
      <c r="A13" s="20" t="inlineStr">
        <is>
          <t>Graphs</t>
        </is>
      </c>
      <c r="B13" s="19" t="n"/>
      <c r="C13" s="19" t="n"/>
      <c r="D13" s="19" t="n"/>
      <c r="E13" s="19" t="n"/>
    </row>
    <row r="14">
      <c r="A14" s="20" t="inlineStr">
        <is>
          <t>Advanced Graphs</t>
        </is>
      </c>
      <c r="B14" s="19" t="n"/>
      <c r="C14" s="19" t="n"/>
      <c r="D14" s="19" t="n"/>
      <c r="E14" s="19" t="n"/>
    </row>
    <row r="15">
      <c r="A15" s="20" t="inlineStr">
        <is>
          <t>Greedy</t>
        </is>
      </c>
      <c r="B15" s="19" t="n"/>
      <c r="C15" s="19" t="n"/>
      <c r="D15" s="19" t="n"/>
      <c r="E15" s="19" t="n"/>
    </row>
    <row r="16">
      <c r="A16" s="20" t="inlineStr">
        <is>
          <t>1-D Dynamic Programming</t>
        </is>
      </c>
      <c r="B16" s="19" t="n"/>
      <c r="C16" s="19" t="n"/>
      <c r="D16" s="19" t="n"/>
      <c r="E16" s="19" t="n"/>
    </row>
    <row r="17">
      <c r="A17" s="20" t="inlineStr">
        <is>
          <t>2-D Dynamic Programming</t>
        </is>
      </c>
      <c r="B17" s="19" t="n"/>
      <c r="C17" s="19" t="n"/>
      <c r="D17" s="19" t="n"/>
      <c r="E17" s="19" t="n"/>
    </row>
    <row r="18">
      <c r="A18" s="20" t="inlineStr">
        <is>
          <t>Tries</t>
        </is>
      </c>
      <c r="B18" s="19" t="n"/>
      <c r="C18" s="19" t="n"/>
      <c r="D18" s="19" t="n"/>
      <c r="E18" s="19" t="n"/>
    </row>
    <row r="19">
      <c r="A19" s="20" t="inlineStr">
        <is>
          <t>Bit Manipulation</t>
        </is>
      </c>
      <c r="B19" s="19" t="n"/>
      <c r="C19" s="19" t="n"/>
      <c r="D19" s="19" t="n"/>
      <c r="E19" s="19" t="n"/>
    </row>
    <row r="20">
      <c r="A20" s="20" t="inlineStr">
        <is>
          <t>Math &amp; Geometry</t>
        </is>
      </c>
      <c r="B20" s="19" t="n"/>
      <c r="C20" s="19" t="n"/>
      <c r="D20" s="19" t="n"/>
      <c r="E20" s="19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10" customWidth="1" min="4" max="4"/>
    <col width="12" customWidth="1" min="5" max="5"/>
    <col width="14" customWidth="1" min="6" max="6"/>
    <col width="45" customWidth="1" min="7" max="7"/>
    <col width="40" customWidth="1" min="8" max="8"/>
  </cols>
  <sheetData>
    <row r="1">
      <c r="A1" s="11" t="inlineStr">
        <is>
          <t>#</t>
        </is>
      </c>
      <c r="B1" s="11" t="inlineStr">
        <is>
          <t>With (person / platform)</t>
        </is>
      </c>
      <c r="C1" s="11" t="inlineStr">
        <is>
          <t>Problem(s)</t>
        </is>
      </c>
      <c r="D1" s="11" t="inlineStr">
        <is>
          <t>Solved?</t>
        </is>
      </c>
      <c r="E1" s="11" t="inlineStr">
        <is>
          <t>Time used (min)</t>
        </is>
      </c>
      <c r="F1" s="11" t="inlineStr">
        <is>
          <t>Communication (1–5)</t>
        </is>
      </c>
      <c r="G1" s="11" t="inlineStr">
        <is>
          <t>Feedback</t>
        </is>
      </c>
      <c r="H1" s="11" t="inlineStr">
        <is>
          <t>What to work on</t>
        </is>
      </c>
    </row>
    <row r="2">
      <c r="A2" s="6" t="n">
        <v>1</v>
      </c>
      <c r="B2" s="19" t="n"/>
      <c r="C2" s="19" t="n"/>
      <c r="D2" s="19" t="n"/>
      <c r="E2" s="19" t="n"/>
      <c r="F2" s="19" t="n"/>
      <c r="G2" s="19" t="n"/>
      <c r="H2" s="19" t="n"/>
    </row>
    <row r="3">
      <c r="A3" s="6" t="n">
        <v>2</v>
      </c>
      <c r="B3" s="19" t="n"/>
      <c r="C3" s="19" t="n"/>
      <c r="D3" s="19" t="n"/>
      <c r="E3" s="19" t="n"/>
      <c r="F3" s="19" t="n"/>
      <c r="G3" s="19" t="n"/>
      <c r="H3" s="19" t="n"/>
    </row>
    <row r="4">
      <c r="A4" s="6" t="n">
        <v>3</v>
      </c>
      <c r="B4" s="19" t="n"/>
      <c r="C4" s="19" t="n"/>
      <c r="D4" s="19" t="n"/>
      <c r="E4" s="19" t="n"/>
      <c r="F4" s="19" t="n"/>
      <c r="G4" s="19" t="n"/>
      <c r="H4" s="19" t="n"/>
    </row>
    <row r="5">
      <c r="A5" s="6" t="n">
        <v>4</v>
      </c>
      <c r="B5" s="19" t="n"/>
      <c r="C5" s="19" t="n"/>
      <c r="D5" s="19" t="n"/>
      <c r="E5" s="19" t="n"/>
      <c r="F5" s="19" t="n"/>
      <c r="G5" s="19" t="n"/>
      <c r="H5" s="19" t="n"/>
    </row>
    <row r="6">
      <c r="A6" s="6" t="n">
        <v>5</v>
      </c>
      <c r="B6" s="19" t="n"/>
      <c r="C6" s="19" t="n"/>
      <c r="D6" s="19" t="n"/>
      <c r="E6" s="19" t="n"/>
      <c r="F6" s="19" t="n"/>
      <c r="G6" s="19" t="n"/>
      <c r="H6" s="19" t="n"/>
    </row>
    <row r="7">
      <c r="A7" s="6" t="n">
        <v>6</v>
      </c>
      <c r="B7" s="19" t="n"/>
      <c r="C7" s="19" t="n"/>
      <c r="D7" s="19" t="n"/>
      <c r="E7" s="19" t="n"/>
      <c r="F7" s="19" t="n"/>
      <c r="G7" s="19" t="n"/>
      <c r="H7" s="19" t="n"/>
    </row>
    <row r="8">
      <c r="A8" s="6" t="n">
        <v>7</v>
      </c>
      <c r="B8" s="19" t="n"/>
      <c r="C8" s="19" t="n"/>
      <c r="D8" s="19" t="n"/>
      <c r="E8" s="19" t="n"/>
      <c r="F8" s="19" t="n"/>
      <c r="G8" s="19" t="n"/>
      <c r="H8" s="19" t="n"/>
    </row>
    <row r="9">
      <c r="A9" s="6" t="n">
        <v>8</v>
      </c>
      <c r="B9" s="19" t="n"/>
      <c r="C9" s="19" t="n"/>
      <c r="D9" s="19" t="n"/>
      <c r="E9" s="19" t="n"/>
      <c r="F9" s="19" t="n"/>
      <c r="G9" s="19" t="n"/>
      <c r="H9" s="19" t="n"/>
    </row>
    <row r="10">
      <c r="A10" s="6" t="n">
        <v>9</v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6" t="n">
        <v>10</v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6" t="n">
        <v>11</v>
      </c>
      <c r="B12" s="19" t="n"/>
      <c r="C12" s="19" t="n"/>
      <c r="D12" s="19" t="n"/>
      <c r="E12" s="19" t="n"/>
      <c r="F12" s="19" t="n"/>
      <c r="G12" s="19" t="n"/>
      <c r="H12" s="19" t="n"/>
    </row>
    <row r="13">
      <c r="A13" s="6" t="n">
        <v>12</v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6" t="n">
        <v>13</v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6" t="n">
        <v>14</v>
      </c>
      <c r="B15" s="19" t="n"/>
      <c r="C15" s="19" t="n"/>
      <c r="D15" s="19" t="n"/>
      <c r="E15" s="19" t="n"/>
      <c r="F15" s="19" t="n"/>
      <c r="G15" s="19" t="n"/>
      <c r="H15" s="19" t="n"/>
    </row>
    <row r="16">
      <c r="A16" s="6" t="n">
        <v>15</v>
      </c>
      <c r="B16" s="19" t="n"/>
      <c r="C16" s="19" t="n"/>
      <c r="D16" s="19" t="n"/>
      <c r="E16" s="19" t="n"/>
      <c r="F16" s="19" t="n"/>
      <c r="G16" s="19" t="n"/>
      <c r="H16" s="19" t="n"/>
    </row>
    <row r="17">
      <c r="A17" s="6" t="n">
        <v>16</v>
      </c>
      <c r="B17" s="19" t="n"/>
      <c r="C17" s="19" t="n"/>
      <c r="D17" s="19" t="n"/>
      <c r="E17" s="19" t="n"/>
      <c r="F17" s="19" t="n"/>
      <c r="G17" s="19" t="n"/>
      <c r="H17" s="19" t="n"/>
    </row>
    <row r="18">
      <c r="A18" s="6" t="n">
        <v>17</v>
      </c>
      <c r="B18" s="19" t="n"/>
      <c r="C18" s="19" t="n"/>
      <c r="D18" s="19" t="n"/>
      <c r="E18" s="19" t="n"/>
      <c r="F18" s="19" t="n"/>
      <c r="G18" s="19" t="n"/>
      <c r="H18" s="19" t="n"/>
    </row>
    <row r="19">
      <c r="A19" s="6" t="n">
        <v>18</v>
      </c>
      <c r="B19" s="19" t="n"/>
      <c r="C19" s="19" t="n"/>
      <c r="D19" s="19" t="n"/>
      <c r="E19" s="19" t="n"/>
      <c r="F19" s="19" t="n"/>
      <c r="G19" s="19" t="n"/>
      <c r="H19" s="19" t="n"/>
    </row>
    <row r="20">
      <c r="A20" s="6" t="n">
        <v>19</v>
      </c>
      <c r="B20" s="19" t="n"/>
      <c r="C20" s="19" t="n"/>
      <c r="D20" s="19" t="n"/>
      <c r="E20" s="19" t="n"/>
      <c r="F20" s="19" t="n"/>
      <c r="G20" s="19" t="n"/>
      <c r="H20" s="19" t="n"/>
    </row>
    <row r="21">
      <c r="A21" s="6" t="n">
        <v>20</v>
      </c>
      <c r="B21" s="19" t="n"/>
      <c r="C21" s="19" t="n"/>
      <c r="D21" s="19" t="n"/>
      <c r="E21" s="19" t="n"/>
      <c r="F21" s="19" t="n"/>
      <c r="G21" s="19" t="n"/>
      <c r="H21" s="19" t="n"/>
    </row>
  </sheetData>
  <dataValidations count="2">
    <dataValidation sqref="D2:D21" showDropDown="0" showInputMessage="0" showErrorMessage="1" allowBlank="1" type="list" errorTitle="Solved?" error="Pick Yes, Partly or No from the list, or leave it empty.">
      <formula1>"Yes,Partly,No"</formula1>
    </dataValidation>
    <dataValidation sqref="F2:F21" showDropDown="0" showInputMessage="0" showErrorMessage="1" allowBlank="1" type="whole" operator="between" errorTitle="Communication" error="Enter a whole number from 1 to 5, or leave it empty.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dimension ref="A1:E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55" customWidth="1" min="4" max="4"/>
    <col width="35" customWidth="1" min="5" max="5"/>
  </cols>
  <sheetData>
    <row r="1">
      <c r="A1" s="11" t="inlineStr">
        <is>
          <t xml:space="preserve">Date</t>
        </is>
      </c>
      <c r="B1" s="11" t="inlineStr">
        <is>
          <t xml:space="preserve">Roadmap step</t>
        </is>
      </c>
      <c r="C1" s="11" t="inlineStr">
        <is>
          <t xml:space="preserve">What I covered</t>
        </is>
      </c>
      <c r="D1" s="11" t="inlineStr">
        <is>
          <t xml:space="preserve">What I got wrong / gaps</t>
        </is>
      </c>
      <c r="E1" s="11" t="inlineStr">
        <is>
          <t xml:space="preserve">Next session</t>
        </is>
      </c>
    </row>
    <row r="2" ht="165" customHeight="1">
      <c r="A2" s="21">
        <v>46303</v>
      </c>
      <c r="B2" s="19" t="inlineStr">
        <is>
          <t xml:space="preserve">1 · Big-O</t>
        </is>
      </c>
      <c r="C2" s="19" t="inlineStr">
        <is>
          <t xml:space="preserve">• Big-O check on 5 Swift snippets
• Space complexity: variables O(1), collections = their size, recursion = call-stack depth
• Full count: write every cost (the loop itself, writes, array growth, return), keep the fastest-growing part, drop constants
• 0 + 1 + … + (n−1) = n(n−1)/2, as count × average
• Array growth: capacity doubles, total copying &lt; 2n
• fib call tree: O(2ⁿ) time, O(n) space (stack depth)</t>
        </is>
      </c>
      <c r="D2" s="19" t="inlineStr">
        <is>
          <t xml:space="preserve">• #2 halving loop: said O(n), is O(log n)
• #3 insert(at: 0) in a loop: said O(n), is O(n²); every insert shifts all elements
• #5 String offsetBy in a loop: said O(n), is O(n²); use Array(s) or for ch in s
• #4 fib: did not know the ternary; walked through it, not solved alone</t>
        </is>
      </c>
      <c r="E2" s="19" t="inlineStr">
        <is>
          <t xml:space="preserve">Redo the 5 snippets from memory with time AND space, then start Step 2 · Recursion</t>
        </is>
      </c>
    </row>
  </sheetData>
  <dataValidations count="1">
    <dataValidation sqref="A2:A500" showDropDown="0" showInputMessage="0" showErrorMessage="1" allowBlank="1" type="date" operator="greaterThan" errorTitle="Date" error="Enter a date, e.g. 2026-10-08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2026-10-07T10:33:47Z</dcterms:created>
  <dcterms:modified xsi:type="dcterms:W3CDTF">2026-10-07T10:33:47Z</dcterms:modified>
</cp:coreProperties>
</file>